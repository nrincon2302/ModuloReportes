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l\Desktop\Coding Project\PROYECTAMOS\Alcaldia\CodexDashboard\info\"/>
    </mc:Choice>
  </mc:AlternateContent>
  <xr:revisionPtr revIDLastSave="0" documentId="13_ncr:1_{180FCE90-A371-423C-A78A-4BB40C067B0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V1" sheetId="2" r:id="rId1"/>
    <sheet name="V2" sheetId="3" r:id="rId2"/>
    <sheet name="V3" sheetId="4" r:id="rId3"/>
    <sheet name="V4" sheetId="6" r:id="rId4"/>
  </sheets>
  <definedNames>
    <definedName name="_xlnm._FilterDatabase" localSheetId="0" hidden="1">'V1'!$A$1:$E$67</definedName>
    <definedName name="_xlnm._FilterDatabase" localSheetId="1" hidden="1">'V2'!$A$1:$E$62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6" l="1"/>
  <c r="D66" i="6"/>
  <c r="D65" i="6"/>
  <c r="D64" i="6"/>
  <c r="D63" i="6"/>
  <c r="D62" i="6"/>
  <c r="D61" i="6"/>
  <c r="J2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2" i="4"/>
  <c r="D68" i="4"/>
  <c r="D67" i="4"/>
  <c r="D66" i="4"/>
  <c r="D65" i="4"/>
  <c r="D64" i="4"/>
  <c r="D63" i="4"/>
  <c r="D62" i="4"/>
</calcChain>
</file>

<file path=xl/sharedStrings.xml><?xml version="1.0" encoding="utf-8"?>
<sst xmlns="http://schemas.openxmlformats.org/spreadsheetml/2006/main" count="1476" uniqueCount="340">
  <si>
    <t>p1_d1_01</t>
  </si>
  <si>
    <t>p1_d1_02</t>
  </si>
  <si>
    <t>p1_d1_03</t>
  </si>
  <si>
    <t>p1_d1_04</t>
  </si>
  <si>
    <t>p1_d1_05</t>
  </si>
  <si>
    <t>p1_d1_06</t>
  </si>
  <si>
    <t>p1_d1_07</t>
  </si>
  <si>
    <t>p1_d1_08</t>
  </si>
  <si>
    <t>p1_d1_09</t>
  </si>
  <si>
    <t>p1_d2_01</t>
  </si>
  <si>
    <t>p1_d2_02</t>
  </si>
  <si>
    <t>p1_d2_03</t>
  </si>
  <si>
    <t>p1_d2_04</t>
  </si>
  <si>
    <t>p1_d2_05</t>
  </si>
  <si>
    <t>p1_d2_06</t>
  </si>
  <si>
    <t>p1_d3_01</t>
  </si>
  <si>
    <t>p1_d3_02</t>
  </si>
  <si>
    <t>p1_d3_03</t>
  </si>
  <si>
    <t>p1_d3_04</t>
  </si>
  <si>
    <t>p1_d3_05</t>
  </si>
  <si>
    <t>p1_d3_06</t>
  </si>
  <si>
    <t>p2_d1_01</t>
  </si>
  <si>
    <t>p2_d1_02</t>
  </si>
  <si>
    <t>p2_d1_03</t>
  </si>
  <si>
    <t>p2_d1_06</t>
  </si>
  <si>
    <t>p2_d1_08</t>
  </si>
  <si>
    <t>p2_d1_04</t>
  </si>
  <si>
    <t>p2_d1_05</t>
  </si>
  <si>
    <t>p2_d1_07</t>
  </si>
  <si>
    <t>p3_d1_01</t>
  </si>
  <si>
    <t>p3_d1_02</t>
  </si>
  <si>
    <t>p3_d1_03</t>
  </si>
  <si>
    <t>p3_d1_04</t>
  </si>
  <si>
    <t>p3_d2_01</t>
  </si>
  <si>
    <t>p3_d2_02</t>
  </si>
  <si>
    <t>p3_d2_03</t>
  </si>
  <si>
    <t>p3_d3_01</t>
  </si>
  <si>
    <t>p3_d3_02</t>
  </si>
  <si>
    <t>p4_d1_01</t>
  </si>
  <si>
    <t>p4_d1_02</t>
  </si>
  <si>
    <t>p4_d1_03</t>
  </si>
  <si>
    <t>p4_d1_04</t>
  </si>
  <si>
    <t>p4_d1_05</t>
  </si>
  <si>
    <t>p4_d2_01</t>
  </si>
  <si>
    <t>p4_d2_02</t>
  </si>
  <si>
    <t>p4_d2_03</t>
  </si>
  <si>
    <t>p4_d2_04</t>
  </si>
  <si>
    <t>p4_d2_05</t>
  </si>
  <si>
    <t>p4_d2_06</t>
  </si>
  <si>
    <t>p4_d2_07</t>
  </si>
  <si>
    <t>indice_p1_d1</t>
  </si>
  <si>
    <t>indice_p1_d2</t>
  </si>
  <si>
    <t>indice_p1_d3</t>
  </si>
  <si>
    <t>indice_p1</t>
  </si>
  <si>
    <t>indice_p2_d1</t>
  </si>
  <si>
    <t>indice_p2</t>
  </si>
  <si>
    <t>indice_p3_d1</t>
  </si>
  <si>
    <t>indice_p3_d2</t>
  </si>
  <si>
    <t>indice_p3_d3</t>
  </si>
  <si>
    <t>indice_p3</t>
  </si>
  <si>
    <t>indice_p4_d1</t>
  </si>
  <si>
    <t>indice_p4_d2</t>
  </si>
  <si>
    <t>indice_p4</t>
  </si>
  <si>
    <t>indice_c1</t>
  </si>
  <si>
    <t>indice_c2</t>
  </si>
  <si>
    <t>indice_total</t>
  </si>
  <si>
    <t>Id_indicador</t>
  </si>
  <si>
    <t>Componente</t>
  </si>
  <si>
    <t>Pilar</t>
  </si>
  <si>
    <t>Dimensión</t>
  </si>
  <si>
    <t>Indicador</t>
  </si>
  <si>
    <t>Acceso al punto</t>
  </si>
  <si>
    <t>Calidad de la llamada</t>
  </si>
  <si>
    <t>Calidad de la conexión</t>
  </si>
  <si>
    <t>Menú de opciones interactivo (IVR)</t>
  </si>
  <si>
    <t>Limpieza y aseo del punto</t>
  </si>
  <si>
    <t>Señalización</t>
  </si>
  <si>
    <t>Iluminación</t>
  </si>
  <si>
    <t>Tiempo de espera</t>
  </si>
  <si>
    <t>Atención preferencial</t>
  </si>
  <si>
    <t>Amabilidad</t>
  </si>
  <si>
    <t>Diligencia</t>
  </si>
  <si>
    <t>Presentación personal</t>
  </si>
  <si>
    <t>Empatía</t>
  </si>
  <si>
    <t>Imparcialidad</t>
  </si>
  <si>
    <t>Respeto</t>
  </si>
  <si>
    <t>Resolución de la solicitud</t>
  </si>
  <si>
    <t>Lenguaje claro</t>
  </si>
  <si>
    <t>Facilidad</t>
  </si>
  <si>
    <t>Pertinencia</t>
  </si>
  <si>
    <t>Tiempo de respuesta</t>
  </si>
  <si>
    <t>Reiteración</t>
  </si>
  <si>
    <t>Satisfacción y experiencia</t>
  </si>
  <si>
    <t>Índice global</t>
  </si>
  <si>
    <t>Calidad de las respuestas (PQRSD)</t>
  </si>
  <si>
    <t>Prestación del servicio</t>
  </si>
  <si>
    <t>Pertinencia (coherencia)</t>
  </si>
  <si>
    <t>Comprensión (claridad)</t>
  </si>
  <si>
    <t>Empatía (calidez)</t>
  </si>
  <si>
    <t>Oportunidad</t>
  </si>
  <si>
    <t>Gestión del traslado</t>
  </si>
  <si>
    <t>Manejo del Sistema</t>
  </si>
  <si>
    <t>Resolución en el primer contacto</t>
  </si>
  <si>
    <t>Traslados a entidad no competente</t>
  </si>
  <si>
    <t>Formulario de calificación de procesos (BackOffice)</t>
  </si>
  <si>
    <t>Cliente oculto (FrontOffice)</t>
  </si>
  <si>
    <t>Atención</t>
  </si>
  <si>
    <t>Sistema de gestión inicial</t>
  </si>
  <si>
    <t>Ambiente físico y señalización interna</t>
  </si>
  <si>
    <t>Gestión operativa y capacidad de atención</t>
  </si>
  <si>
    <t>Recursos operativos</t>
  </si>
  <si>
    <t>Infraestructura y señalización de acceso</t>
  </si>
  <si>
    <t>Gestión del trámite</t>
  </si>
  <si>
    <t>Tiempo de atención</t>
  </si>
  <si>
    <t>Resultados y seguimiento del servicio</t>
  </si>
  <si>
    <t>Accesibilidad telefónica</t>
  </si>
  <si>
    <t>Accesibilidad virtual</t>
  </si>
  <si>
    <t>Atención chat</t>
  </si>
  <si>
    <t>Integración tecnológica (Portal Bogotá y Bogotá te escucha)</t>
  </si>
  <si>
    <t>Formulación de procesos y procedimientos</t>
  </si>
  <si>
    <t>Participación ciudadana</t>
  </si>
  <si>
    <t>Automatización funcional</t>
  </si>
  <si>
    <t>Adaptación tecnológica</t>
  </si>
  <si>
    <t>Eliminación de requisitos</t>
  </si>
  <si>
    <t>Digitalización de trámites</t>
  </si>
  <si>
    <t>Participación en el SuperCADE Móvil</t>
  </si>
  <si>
    <t>Ahorros en la Prestación del Servicio</t>
  </si>
  <si>
    <t>Condiciones Institucionales</t>
  </si>
  <si>
    <t>Índice de satisfacción y experiencia</t>
  </si>
  <si>
    <t>Índice de Ahorros en la Prestación del Servicio</t>
  </si>
  <si>
    <t>Índice de Optimización Funcional</t>
  </si>
  <si>
    <t>Índice de Percepción Ciudadana</t>
  </si>
  <si>
    <t>Índice de Efectividad del Trámite</t>
  </si>
  <si>
    <t>Índice de Calidad de las Respuestas</t>
  </si>
  <si>
    <t>Índice de BackOffice</t>
  </si>
  <si>
    <t>Índice de FrontOffice</t>
  </si>
  <si>
    <t>Índice Global de Prestación del Servicio</t>
  </si>
  <si>
    <t>Índice Global de Satisfacción y Experiencia</t>
  </si>
  <si>
    <t>Índice Global</t>
  </si>
  <si>
    <t>Índice de Condiciones en el Punto de Atención</t>
  </si>
  <si>
    <t>Índice de Atención</t>
  </si>
  <si>
    <t>Índice de Acceso e Inclusión</t>
  </si>
  <si>
    <t>Condiciones en el Punto de Atención</t>
  </si>
  <si>
    <t>Optimización Funcional</t>
  </si>
  <si>
    <t>Efectividad del Trámite</t>
  </si>
  <si>
    <t>Percepción Ciudadana</t>
  </si>
  <si>
    <t>Acceso e Inclusión</t>
  </si>
  <si>
    <t>Global</t>
  </si>
  <si>
    <t>Índice Global de Calidad de las Respuestas</t>
  </si>
  <si>
    <t>Tiempo de atención BackOffice</t>
  </si>
  <si>
    <t>Calidad de la llamada FrontOffice</t>
  </si>
  <si>
    <t>Índice de Condiciones Institucionales</t>
  </si>
  <si>
    <t>Acceso al punto físico</t>
  </si>
  <si>
    <t>Acceso a la página web o chat</t>
  </si>
  <si>
    <t>Acceso a la llamada telefónica</t>
  </si>
  <si>
    <t>Tiempo de espera para ser atendido</t>
  </si>
  <si>
    <t>Satisfacción con el espacio físico</t>
  </si>
  <si>
    <t>Lenguaje claro y comprensible del menú de opciones</t>
  </si>
  <si>
    <t>Satisfacción con el personal que atendió</t>
  </si>
  <si>
    <t>Tiempo de la interacción</t>
  </si>
  <si>
    <t>Notificaciones por correo electrónico</t>
  </si>
  <si>
    <t>Disponibilidad de información</t>
  </si>
  <si>
    <t>p1_d2_07</t>
  </si>
  <si>
    <t>p1_d2_08</t>
  </si>
  <si>
    <t>Índice de eficiencia institucional en trámites y servicios</t>
  </si>
  <si>
    <t>Integración con el Portal Bogotá</t>
  </si>
  <si>
    <t>Integración con Bogotá te Escucha</t>
  </si>
  <si>
    <t>Índice de calidad del servicio prestado</t>
  </si>
  <si>
    <t>Accesibilidad en el punto de atención</t>
  </si>
  <si>
    <t>Acceso al chat</t>
  </si>
  <si>
    <t>Acceso al portal web</t>
  </si>
  <si>
    <t>Facilidad de interacción con el portal web</t>
  </si>
  <si>
    <t>Recomendación del canal</t>
  </si>
  <si>
    <t>Índice de experiencia en los canales de atención</t>
  </si>
  <si>
    <t>Índice de satisfacción con el servicio recibido</t>
  </si>
  <si>
    <t>Índice de Percepción Ciudadana Sobre el Servicio</t>
  </si>
  <si>
    <t>Índice de percepción ciudadana sobre el servicio</t>
  </si>
  <si>
    <t>Resolución del trámite</t>
  </si>
  <si>
    <t>Lenguaje claro en el trámite</t>
  </si>
  <si>
    <t>Facilidad de acceder al trámite</t>
  </si>
  <si>
    <t>Pertinencia de la respuesta</t>
  </si>
  <si>
    <t>Tiempo en la atención</t>
  </si>
  <si>
    <t>Disponibilidad de instructivos y tutoriales</t>
  </si>
  <si>
    <t>Reiteración de solicitudes</t>
  </si>
  <si>
    <t>Percepción ciudadana sobre el servicio</t>
  </si>
  <si>
    <t>Experiencia en los canales de atención</t>
  </si>
  <si>
    <t>Nivel de satisfacción general con el espacio físico</t>
  </si>
  <si>
    <t>Lenguaje claro menú de opciones</t>
  </si>
  <si>
    <t>Satisfacción con el servicio recibido</t>
  </si>
  <si>
    <t>Digitalización y automatización de trámites</t>
  </si>
  <si>
    <t>Ahorros en los requisitos y tiempos</t>
  </si>
  <si>
    <t>Integración Tecnológica</t>
  </si>
  <si>
    <t>Evaluación de capacidad instalada</t>
  </si>
  <si>
    <t>Evaluación de habilidades</t>
  </si>
  <si>
    <t>Estándares y Protocolos de Atención</t>
  </si>
  <si>
    <t>% de PQRSD con respuesta dentro de los términios establecidos para el trámite</t>
  </si>
  <si>
    <t>Oportunidad en la gestión del traslado</t>
  </si>
  <si>
    <t>% de PQRSD que cumple con los criterios de Coherencia, Claridad, Calidez, Oportunidad y Manejo del Sistema</t>
  </si>
  <si>
    <t>% de procedimientos publicados en página web</t>
  </si>
  <si>
    <t>% de procesos automatizados</t>
  </si>
  <si>
    <t>% de procesos digitalizados</t>
  </si>
  <si>
    <t>% de servicios con acciones para reducir tiempo de atención</t>
  </si>
  <si>
    <t>% de trámites con eliminación de requisitos</t>
  </si>
  <si>
    <t>% de ferias con participación</t>
  </si>
  <si>
    <t>Monitoreo a la efectiva prestación del servicio en los canales</t>
  </si>
  <si>
    <t>Afectación del servicio presencial</t>
  </si>
  <si>
    <t>Afectación del servicio virtual</t>
  </si>
  <si>
    <t>Afectación del servicio telefónico</t>
  </si>
  <si>
    <t>% Capacidad instalada (módulos en el área de atención) utilizados</t>
  </si>
  <si>
    <t>Lugar y puestos de trabajo para la atención a la ciudadanía</t>
  </si>
  <si>
    <t>% Capacidad instalada (módulos para recaudos) utilizados</t>
  </si>
  <si>
    <t>Calificación promedio de habilidades técnicas</t>
  </si>
  <si>
    <t>Cumplimiento del protocolo de atención</t>
  </si>
  <si>
    <t>Tiempo de espera para el turno</t>
  </si>
  <si>
    <t>Cumplimiento de protocolo de atención en módulo</t>
  </si>
  <si>
    <t>Tiempo total empleado</t>
  </si>
  <si>
    <t>Recaudo</t>
  </si>
  <si>
    <t>Accesibilidad en el canal telefónico</t>
  </si>
  <si>
    <t>Atención por parte de la persona que presta el servicio</t>
  </si>
  <si>
    <t>Requerimiento de la ciudadanía y respuesta</t>
  </si>
  <si>
    <t>Finalización de la llamada</t>
  </si>
  <si>
    <t>Accesibilidad en medios electrónicos</t>
  </si>
  <si>
    <t>Atención en chat y respuesta a la solicitud de la ciudadanía</t>
  </si>
  <si>
    <t>Finalización del servicio</t>
  </si>
  <si>
    <t>Gestión efectiva de las respuestas institucionales</t>
  </si>
  <si>
    <t>Eficiencia institucional en trámites y servicios</t>
  </si>
  <si>
    <t>Capacidad y protocolos del servicio</t>
  </si>
  <si>
    <t>Índice de capacidad y protocolos del servicio</t>
  </si>
  <si>
    <t>c1_p1_d1_01</t>
  </si>
  <si>
    <t>c1_p1_d1_02</t>
  </si>
  <si>
    <t>c1_p1_d1_03</t>
  </si>
  <si>
    <t>c1_p2_d2_01</t>
  </si>
  <si>
    <t>c1_p2_d2_02</t>
  </si>
  <si>
    <t>c1_p2_d2_03</t>
  </si>
  <si>
    <t>c1_p2_d3_01</t>
  </si>
  <si>
    <t>c1_p2_d3_02</t>
  </si>
  <si>
    <t>c1_p2_d4_01</t>
  </si>
  <si>
    <t>c1_p2_d4_02</t>
  </si>
  <si>
    <t>c1_p2_d4_03</t>
  </si>
  <si>
    <t>c1_p2_d4_04</t>
  </si>
  <si>
    <t>c1_p2_d4_05</t>
  </si>
  <si>
    <t>c1_p2_d4_06</t>
  </si>
  <si>
    <t>c1_p2_d4_07</t>
  </si>
  <si>
    <t>c1_p3_d5_01</t>
  </si>
  <si>
    <t>c1_p3_d5_02</t>
  </si>
  <si>
    <t>c1_p3_d5_03</t>
  </si>
  <si>
    <t>c1_p3_d5_04</t>
  </si>
  <si>
    <t>c1_p3_d5_05</t>
  </si>
  <si>
    <t>c1_p3_d6_01</t>
  </si>
  <si>
    <t>c1_p3_d6_02</t>
  </si>
  <si>
    <t>c1_p3_d7_01</t>
  </si>
  <si>
    <t>c1_p3_d7_02</t>
  </si>
  <si>
    <t>c1_p3_d7_03</t>
  </si>
  <si>
    <t>c1_p3_d7_04</t>
  </si>
  <si>
    <t>c1_p3_d7_05</t>
  </si>
  <si>
    <t>c1_p3_d7_06</t>
  </si>
  <si>
    <t>c1_p3_d7_07</t>
  </si>
  <si>
    <t>c1_p3_d7_08</t>
  </si>
  <si>
    <t>c1_p3_d7_09</t>
  </si>
  <si>
    <t>c1_p3_d7_10</t>
  </si>
  <si>
    <t>c1_p3_d7_11</t>
  </si>
  <si>
    <t>c1_p3_d7_12</t>
  </si>
  <si>
    <t>c1_p3_d7_13</t>
  </si>
  <si>
    <t>c2_p4_d8_01</t>
  </si>
  <si>
    <t>c2_p4_d8_02</t>
  </si>
  <si>
    <t>c2_p4_d8_03</t>
  </si>
  <si>
    <t>c2_p4_d8_04</t>
  </si>
  <si>
    <t>c2_p4_d8_05</t>
  </si>
  <si>
    <t>c2_p4_d8_06</t>
  </si>
  <si>
    <t>c2_p4_d8_07</t>
  </si>
  <si>
    <t>c2_p4_d8_08</t>
  </si>
  <si>
    <t>c2_p4_d8_09</t>
  </si>
  <si>
    <t>c2_p4_d8_10</t>
  </si>
  <si>
    <t>c2_p4_d8_11</t>
  </si>
  <si>
    <t>c2_p4_d8_12</t>
  </si>
  <si>
    <t>c2_p4_d9_01</t>
  </si>
  <si>
    <t>c2_p4_d9_02</t>
  </si>
  <si>
    <t>c2_p4_d9_03</t>
  </si>
  <si>
    <t>c2_p4_d9_04</t>
  </si>
  <si>
    <t>c2_p4_d9_05</t>
  </si>
  <si>
    <t>c2_p4_d9_06</t>
  </si>
  <si>
    <t>c2_p4_d9_07</t>
  </si>
  <si>
    <t>c2_p4_d9_08</t>
  </si>
  <si>
    <t>indice_p4_d9</t>
  </si>
  <si>
    <t>indice_p4_d8</t>
  </si>
  <si>
    <t>indice_p2_d2</t>
  </si>
  <si>
    <t>indice_p2_d3</t>
  </si>
  <si>
    <t>indice_p3_d4</t>
  </si>
  <si>
    <t>indice_p3_d5</t>
  </si>
  <si>
    <t>indice_p3_d6</t>
  </si>
  <si>
    <t>indice_p3_d7</t>
  </si>
  <si>
    <t>Índice de gestión efectiva de las respuestas institucionales</t>
  </si>
  <si>
    <t>Accesibilidad en el ingreso del punto de atención presencial</t>
  </si>
  <si>
    <t>Accesibilidad en el ingreso del punto de atención en la red CADE</t>
  </si>
  <si>
    <t>Calificación promedio de habilidades técnicas socioemocionales</t>
  </si>
  <si>
    <t>c1_p3_d7_14</t>
  </si>
  <si>
    <t>c1_p3_d7_15</t>
  </si>
  <si>
    <t>c1_p3_d7_16</t>
  </si>
  <si>
    <t>Conexión con la llamada</t>
  </si>
  <si>
    <t>Disponibilidad de IVR</t>
  </si>
  <si>
    <t>Atención por una persona</t>
  </si>
  <si>
    <t>c1_p3_d5_06</t>
  </si>
  <si>
    <t>c1_p3_d5_07</t>
  </si>
  <si>
    <t>Preparación del evento</t>
  </si>
  <si>
    <t>Participación en ferias</t>
  </si>
  <si>
    <t>Oportunidad en la respuesta según normatividad vigente</t>
  </si>
  <si>
    <t>Calidad</t>
  </si>
  <si>
    <t>% implementación de acciones para reducir tiempo de atención</t>
  </si>
  <si>
    <t>Accesibilidad en el ingreso del punto de atención</t>
  </si>
  <si>
    <t>Calificación promedio de habilidades socioemocionales</t>
  </si>
  <si>
    <t>Accesibilidad en el espacio de recaudo</t>
  </si>
  <si>
    <t>Nivel de satisfacción con el acceso al punto físico</t>
  </si>
  <si>
    <t>Nivel de satisfacción con el acceso al chat</t>
  </si>
  <si>
    <t>Nivel de satisfacción con el acceso al portal web</t>
  </si>
  <si>
    <t>Nivel de satisfacción con la facilidad de interacción con el portal web</t>
  </si>
  <si>
    <t>Nivel de satisfacción con el acceso a la llamada telefónica</t>
  </si>
  <si>
    <t>Nivel de satisfacción con el tiempo de espera</t>
  </si>
  <si>
    <t>Nivel satisfacción general con el espacio físico</t>
  </si>
  <si>
    <t>Nivel de satisfacción con la calidad de la llamada</t>
  </si>
  <si>
    <t>Nivel de satisfacción con la calidad de la conexión</t>
  </si>
  <si>
    <t>Nivel de satisfacción con el lenguaje claro del menú de opciones</t>
  </si>
  <si>
    <t>Nivel de satisfacción con el personal que atendió</t>
  </si>
  <si>
    <t>% de personas que recomiendan el canal</t>
  </si>
  <si>
    <t>% de trámites resueltos</t>
  </si>
  <si>
    <t>Nivel de satisfacción con la claridad del lenguaje en el trámite</t>
  </si>
  <si>
    <t>Nivel de satisfacción con la facilidad de acceder al trámite</t>
  </si>
  <si>
    <t>Nivel de satisfacción con la pertinencia de la respuesta</t>
  </si>
  <si>
    <t>Nivel de satisfacción con el tiempo en la atención</t>
  </si>
  <si>
    <t>Nivel de satisfacción con las notificaciones del sistema</t>
  </si>
  <si>
    <t>Nivel de satisfacción con la disponibilidad de instructivos y tutoriales disponibles</t>
  </si>
  <si>
    <t>% de ciudadanos que reiteran solicitudes</t>
  </si>
  <si>
    <t>Accesibilidad en el ingreso del punto de atención de red CADE</t>
  </si>
  <si>
    <t>Articulación Digital del Servicio</t>
  </si>
  <si>
    <t>Nivel de satisfacción con la disponibilidad de instructivos y tutoriales</t>
  </si>
  <si>
    <t>Disponibilidad del servicio presencial</t>
  </si>
  <si>
    <t>Disponibilidad del servicio virtual</t>
  </si>
  <si>
    <t>Disponibilidad del servicio telefónico</t>
  </si>
  <si>
    <t>Accesibilidad instalada en el ingreso del punto de atención</t>
  </si>
  <si>
    <t>Accesibilidad instalada en el punto de atención</t>
  </si>
  <si>
    <t>indice_p2_d4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</si>
</sst>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/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79B8-161C-0C4F-9F4E-9A9B7C733919}">
  <dimension ref="A1:E67"/>
  <sheetViews>
    <sheetView zoomScale="150" workbookViewId="0">
      <pane ySplit="1" topLeftCell="A56" activePane="bottomLeft" state="frozen"/>
      <selection pane="bottomLeft" activeCell="D61" sqref="D61"/>
    </sheetView>
  </sheetViews>
  <sheetFormatPr baseColWidth="10" defaultColWidth="10.77734375" defaultRowHeight="14.4" x14ac:dyDescent="0.3"/>
  <cols>
    <col min="1" max="1" width="20.77734375" style="1" bestFit="1" customWidth="1"/>
    <col min="2" max="2" width="40.6640625" style="1" bestFit="1" customWidth="1"/>
    <col min="3" max="3" width="29.33203125" style="1" bestFit="1" customWidth="1"/>
    <col min="4" max="4" width="34.33203125" style="6" bestFit="1" customWidth="1"/>
    <col min="5" max="5" width="11.44140625" style="1" bestFit="1" customWidth="1"/>
    <col min="6" max="16384" width="10.77734375" style="1"/>
  </cols>
  <sheetData>
    <row r="1" spans="1:5" x14ac:dyDescent="0.3">
      <c r="A1" s="3" t="s">
        <v>67</v>
      </c>
      <c r="B1" s="3" t="s">
        <v>68</v>
      </c>
      <c r="C1" s="3" t="s">
        <v>69</v>
      </c>
      <c r="D1" s="4" t="s">
        <v>70</v>
      </c>
      <c r="E1" s="3" t="s">
        <v>66</v>
      </c>
    </row>
    <row r="2" spans="1:5" x14ac:dyDescent="0.3">
      <c r="A2" s="2" t="s">
        <v>92</v>
      </c>
      <c r="B2" s="2" t="s">
        <v>92</v>
      </c>
      <c r="C2" s="2" t="s">
        <v>146</v>
      </c>
      <c r="D2" s="5" t="s">
        <v>71</v>
      </c>
      <c r="E2" s="2" t="s">
        <v>0</v>
      </c>
    </row>
    <row r="3" spans="1:5" x14ac:dyDescent="0.3">
      <c r="A3" s="2" t="s">
        <v>92</v>
      </c>
      <c r="B3" s="2" t="s">
        <v>92</v>
      </c>
      <c r="C3" s="2" t="s">
        <v>146</v>
      </c>
      <c r="D3" s="5" t="s">
        <v>72</v>
      </c>
      <c r="E3" s="2" t="s">
        <v>1</v>
      </c>
    </row>
    <row r="4" spans="1:5" x14ac:dyDescent="0.3">
      <c r="A4" s="2" t="s">
        <v>92</v>
      </c>
      <c r="B4" s="2" t="s">
        <v>92</v>
      </c>
      <c r="C4" s="2" t="s">
        <v>146</v>
      </c>
      <c r="D4" s="5" t="s">
        <v>73</v>
      </c>
      <c r="E4" s="2" t="s">
        <v>2</v>
      </c>
    </row>
    <row r="5" spans="1:5" x14ac:dyDescent="0.3">
      <c r="A5" s="2" t="s">
        <v>92</v>
      </c>
      <c r="B5" s="2" t="s">
        <v>92</v>
      </c>
      <c r="C5" s="2" t="s">
        <v>146</v>
      </c>
      <c r="D5" s="5" t="s">
        <v>74</v>
      </c>
      <c r="E5" s="2" t="s">
        <v>3</v>
      </c>
    </row>
    <row r="6" spans="1:5" x14ac:dyDescent="0.3">
      <c r="A6" s="2" t="s">
        <v>92</v>
      </c>
      <c r="B6" s="2" t="s">
        <v>92</v>
      </c>
      <c r="C6" s="2" t="s">
        <v>146</v>
      </c>
      <c r="D6" s="5" t="s">
        <v>75</v>
      </c>
      <c r="E6" s="2" t="s">
        <v>4</v>
      </c>
    </row>
    <row r="7" spans="1:5" x14ac:dyDescent="0.3">
      <c r="A7" s="2" t="s">
        <v>92</v>
      </c>
      <c r="B7" s="2" t="s">
        <v>92</v>
      </c>
      <c r="C7" s="2" t="s">
        <v>146</v>
      </c>
      <c r="D7" s="5" t="s">
        <v>76</v>
      </c>
      <c r="E7" s="2" t="s">
        <v>5</v>
      </c>
    </row>
    <row r="8" spans="1:5" x14ac:dyDescent="0.3">
      <c r="A8" s="2" t="s">
        <v>92</v>
      </c>
      <c r="B8" s="2" t="s">
        <v>92</v>
      </c>
      <c r="C8" s="2" t="s">
        <v>146</v>
      </c>
      <c r="D8" s="5" t="s">
        <v>77</v>
      </c>
      <c r="E8" s="2" t="s">
        <v>6</v>
      </c>
    </row>
    <row r="9" spans="1:5" x14ac:dyDescent="0.3">
      <c r="A9" s="2" t="s">
        <v>92</v>
      </c>
      <c r="B9" s="2" t="s">
        <v>92</v>
      </c>
      <c r="C9" s="2" t="s">
        <v>146</v>
      </c>
      <c r="D9" s="5" t="s">
        <v>78</v>
      </c>
      <c r="E9" s="2" t="s">
        <v>7</v>
      </c>
    </row>
    <row r="10" spans="1:5" x14ac:dyDescent="0.3">
      <c r="A10" s="2" t="s">
        <v>92</v>
      </c>
      <c r="B10" s="2" t="s">
        <v>92</v>
      </c>
      <c r="C10" s="2" t="s">
        <v>146</v>
      </c>
      <c r="D10" s="5" t="s">
        <v>79</v>
      </c>
      <c r="E10" s="2" t="s">
        <v>8</v>
      </c>
    </row>
    <row r="11" spans="1:5" x14ac:dyDescent="0.3">
      <c r="A11" s="2" t="s">
        <v>92</v>
      </c>
      <c r="B11" s="2" t="s">
        <v>92</v>
      </c>
      <c r="C11" s="2" t="s">
        <v>145</v>
      </c>
      <c r="D11" s="5" t="s">
        <v>80</v>
      </c>
      <c r="E11" s="2" t="s">
        <v>9</v>
      </c>
    </row>
    <row r="12" spans="1:5" x14ac:dyDescent="0.3">
      <c r="A12" s="2" t="s">
        <v>92</v>
      </c>
      <c r="B12" s="2" t="s">
        <v>92</v>
      </c>
      <c r="C12" s="2" t="s">
        <v>145</v>
      </c>
      <c r="D12" s="5" t="s">
        <v>81</v>
      </c>
      <c r="E12" s="2" t="s">
        <v>10</v>
      </c>
    </row>
    <row r="13" spans="1:5" x14ac:dyDescent="0.3">
      <c r="A13" s="2" t="s">
        <v>92</v>
      </c>
      <c r="B13" s="2" t="s">
        <v>92</v>
      </c>
      <c r="C13" s="2" t="s">
        <v>145</v>
      </c>
      <c r="D13" s="5" t="s">
        <v>82</v>
      </c>
      <c r="E13" s="2" t="s">
        <v>11</v>
      </c>
    </row>
    <row r="14" spans="1:5" x14ac:dyDescent="0.3">
      <c r="A14" s="2" t="s">
        <v>92</v>
      </c>
      <c r="B14" s="2" t="s">
        <v>92</v>
      </c>
      <c r="C14" s="2" t="s">
        <v>145</v>
      </c>
      <c r="D14" s="5" t="s">
        <v>83</v>
      </c>
      <c r="E14" s="2" t="s">
        <v>12</v>
      </c>
    </row>
    <row r="15" spans="1:5" x14ac:dyDescent="0.3">
      <c r="A15" s="2" t="s">
        <v>92</v>
      </c>
      <c r="B15" s="2" t="s">
        <v>92</v>
      </c>
      <c r="C15" s="2" t="s">
        <v>145</v>
      </c>
      <c r="D15" s="5" t="s">
        <v>84</v>
      </c>
      <c r="E15" s="2" t="s">
        <v>13</v>
      </c>
    </row>
    <row r="16" spans="1:5" x14ac:dyDescent="0.3">
      <c r="A16" s="2" t="s">
        <v>92</v>
      </c>
      <c r="B16" s="2" t="s">
        <v>92</v>
      </c>
      <c r="C16" s="2" t="s">
        <v>145</v>
      </c>
      <c r="D16" s="5" t="s">
        <v>85</v>
      </c>
      <c r="E16" s="2" t="s">
        <v>14</v>
      </c>
    </row>
    <row r="17" spans="1:5" x14ac:dyDescent="0.3">
      <c r="A17" s="2" t="s">
        <v>92</v>
      </c>
      <c r="B17" s="2" t="s">
        <v>92</v>
      </c>
      <c r="C17" s="2" t="s">
        <v>144</v>
      </c>
      <c r="D17" s="5" t="s">
        <v>86</v>
      </c>
      <c r="E17" s="2" t="s">
        <v>15</v>
      </c>
    </row>
    <row r="18" spans="1:5" x14ac:dyDescent="0.3">
      <c r="A18" s="2" t="s">
        <v>92</v>
      </c>
      <c r="B18" s="2" t="s">
        <v>92</v>
      </c>
      <c r="C18" s="2" t="s">
        <v>144</v>
      </c>
      <c r="D18" s="5" t="s">
        <v>87</v>
      </c>
      <c r="E18" s="2" t="s">
        <v>16</v>
      </c>
    </row>
    <row r="19" spans="1:5" x14ac:dyDescent="0.3">
      <c r="A19" s="2" t="s">
        <v>92</v>
      </c>
      <c r="B19" s="2" t="s">
        <v>92</v>
      </c>
      <c r="C19" s="2" t="s">
        <v>144</v>
      </c>
      <c r="D19" s="5" t="s">
        <v>88</v>
      </c>
      <c r="E19" s="2" t="s">
        <v>17</v>
      </c>
    </row>
    <row r="20" spans="1:5" x14ac:dyDescent="0.3">
      <c r="A20" s="2" t="s">
        <v>92</v>
      </c>
      <c r="B20" s="2" t="s">
        <v>92</v>
      </c>
      <c r="C20" s="2" t="s">
        <v>144</v>
      </c>
      <c r="D20" s="5" t="s">
        <v>89</v>
      </c>
      <c r="E20" s="2" t="s">
        <v>18</v>
      </c>
    </row>
    <row r="21" spans="1:5" x14ac:dyDescent="0.3">
      <c r="A21" s="2" t="s">
        <v>92</v>
      </c>
      <c r="B21" s="2" t="s">
        <v>92</v>
      </c>
      <c r="C21" s="2" t="s">
        <v>144</v>
      </c>
      <c r="D21" s="5" t="s">
        <v>90</v>
      </c>
      <c r="E21" s="2" t="s">
        <v>19</v>
      </c>
    </row>
    <row r="22" spans="1:5" x14ac:dyDescent="0.3">
      <c r="A22" s="2" t="s">
        <v>92</v>
      </c>
      <c r="B22" s="2" t="s">
        <v>92</v>
      </c>
      <c r="C22" s="2" t="s">
        <v>144</v>
      </c>
      <c r="D22" s="5" t="s">
        <v>91</v>
      </c>
      <c r="E22" s="2" t="s">
        <v>20</v>
      </c>
    </row>
    <row r="23" spans="1:5" x14ac:dyDescent="0.3">
      <c r="A23" s="2" t="s">
        <v>95</v>
      </c>
      <c r="B23" s="2" t="s">
        <v>94</v>
      </c>
      <c r="C23" s="2" t="s">
        <v>94</v>
      </c>
      <c r="D23" s="5" t="s">
        <v>96</v>
      </c>
      <c r="E23" s="2" t="s">
        <v>21</v>
      </c>
    </row>
    <row r="24" spans="1:5" x14ac:dyDescent="0.3">
      <c r="A24" s="2" t="s">
        <v>95</v>
      </c>
      <c r="B24" s="2" t="s">
        <v>94</v>
      </c>
      <c r="C24" s="2" t="s">
        <v>94</v>
      </c>
      <c r="D24" s="5" t="s">
        <v>97</v>
      </c>
      <c r="E24" s="2" t="s">
        <v>22</v>
      </c>
    </row>
    <row r="25" spans="1:5" x14ac:dyDescent="0.3">
      <c r="A25" s="2" t="s">
        <v>95</v>
      </c>
      <c r="B25" s="2" t="s">
        <v>94</v>
      </c>
      <c r="C25" s="2" t="s">
        <v>94</v>
      </c>
      <c r="D25" s="5" t="s">
        <v>98</v>
      </c>
      <c r="E25" s="2" t="s">
        <v>23</v>
      </c>
    </row>
    <row r="26" spans="1:5" x14ac:dyDescent="0.3">
      <c r="A26" s="2" t="s">
        <v>95</v>
      </c>
      <c r="B26" s="2" t="s">
        <v>94</v>
      </c>
      <c r="C26" s="2" t="s">
        <v>94</v>
      </c>
      <c r="D26" s="5" t="s">
        <v>99</v>
      </c>
      <c r="E26" s="2" t="s">
        <v>24</v>
      </c>
    </row>
    <row r="27" spans="1:5" x14ac:dyDescent="0.3">
      <c r="A27" s="2" t="s">
        <v>95</v>
      </c>
      <c r="B27" s="2" t="s">
        <v>94</v>
      </c>
      <c r="C27" s="2" t="s">
        <v>94</v>
      </c>
      <c r="D27" s="5" t="s">
        <v>100</v>
      </c>
      <c r="E27" s="2" t="s">
        <v>25</v>
      </c>
    </row>
    <row r="28" spans="1:5" x14ac:dyDescent="0.3">
      <c r="A28" s="2" t="s">
        <v>95</v>
      </c>
      <c r="B28" s="2" t="s">
        <v>94</v>
      </c>
      <c r="C28" s="2" t="s">
        <v>94</v>
      </c>
      <c r="D28" s="5" t="s">
        <v>101</v>
      </c>
      <c r="E28" s="2" t="s">
        <v>26</v>
      </c>
    </row>
    <row r="29" spans="1:5" x14ac:dyDescent="0.3">
      <c r="A29" s="2" t="s">
        <v>95</v>
      </c>
      <c r="B29" s="2" t="s">
        <v>94</v>
      </c>
      <c r="C29" s="2" t="s">
        <v>94</v>
      </c>
      <c r="D29" s="5" t="s">
        <v>102</v>
      </c>
      <c r="E29" s="2" t="s">
        <v>27</v>
      </c>
    </row>
    <row r="30" spans="1:5" x14ac:dyDescent="0.3">
      <c r="A30" s="2" t="s">
        <v>95</v>
      </c>
      <c r="B30" s="2" t="s">
        <v>94</v>
      </c>
      <c r="C30" s="2" t="s">
        <v>94</v>
      </c>
      <c r="D30" s="5" t="s">
        <v>103</v>
      </c>
      <c r="E30" s="2" t="s">
        <v>28</v>
      </c>
    </row>
    <row r="31" spans="1:5" ht="28.8" x14ac:dyDescent="0.3">
      <c r="A31" s="2" t="s">
        <v>95</v>
      </c>
      <c r="B31" s="2" t="s">
        <v>104</v>
      </c>
      <c r="C31" s="2" t="s">
        <v>143</v>
      </c>
      <c r="D31" s="5" t="s">
        <v>119</v>
      </c>
      <c r="E31" s="2" t="s">
        <v>29</v>
      </c>
    </row>
    <row r="32" spans="1:5" x14ac:dyDescent="0.3">
      <c r="A32" s="2" t="s">
        <v>95</v>
      </c>
      <c r="B32" s="2" t="s">
        <v>104</v>
      </c>
      <c r="C32" s="2" t="s">
        <v>143</v>
      </c>
      <c r="D32" s="5" t="s">
        <v>120</v>
      </c>
      <c r="E32" s="2" t="s">
        <v>30</v>
      </c>
    </row>
    <row r="33" spans="1:5" x14ac:dyDescent="0.3">
      <c r="A33" s="2" t="s">
        <v>95</v>
      </c>
      <c r="B33" s="2" t="s">
        <v>104</v>
      </c>
      <c r="C33" s="2" t="s">
        <v>143</v>
      </c>
      <c r="D33" s="5" t="s">
        <v>121</v>
      </c>
      <c r="E33" s="2" t="s">
        <v>31</v>
      </c>
    </row>
    <row r="34" spans="1:5" x14ac:dyDescent="0.3">
      <c r="A34" s="2" t="s">
        <v>95</v>
      </c>
      <c r="B34" s="2" t="s">
        <v>104</v>
      </c>
      <c r="C34" s="2" t="s">
        <v>143</v>
      </c>
      <c r="D34" s="5" t="s">
        <v>122</v>
      </c>
      <c r="E34" s="2" t="s">
        <v>32</v>
      </c>
    </row>
    <row r="35" spans="1:5" x14ac:dyDescent="0.3">
      <c r="A35" s="2" t="s">
        <v>95</v>
      </c>
      <c r="B35" s="2" t="s">
        <v>104</v>
      </c>
      <c r="C35" s="2" t="s">
        <v>126</v>
      </c>
      <c r="D35" s="5" t="s">
        <v>149</v>
      </c>
      <c r="E35" s="2" t="s">
        <v>33</v>
      </c>
    </row>
    <row r="36" spans="1:5" x14ac:dyDescent="0.3">
      <c r="A36" s="2" t="s">
        <v>95</v>
      </c>
      <c r="B36" s="2" t="s">
        <v>104</v>
      </c>
      <c r="C36" s="2" t="s">
        <v>126</v>
      </c>
      <c r="D36" s="5" t="s">
        <v>123</v>
      </c>
      <c r="E36" s="2" t="s">
        <v>34</v>
      </c>
    </row>
    <row r="37" spans="1:5" x14ac:dyDescent="0.3">
      <c r="A37" s="2" t="s">
        <v>95</v>
      </c>
      <c r="B37" s="2" t="s">
        <v>104</v>
      </c>
      <c r="C37" s="2" t="s">
        <v>126</v>
      </c>
      <c r="D37" s="5" t="s">
        <v>124</v>
      </c>
      <c r="E37" s="2" t="s">
        <v>35</v>
      </c>
    </row>
    <row r="38" spans="1:5" ht="28.8" x14ac:dyDescent="0.3">
      <c r="A38" s="2" t="s">
        <v>95</v>
      </c>
      <c r="B38" s="2" t="s">
        <v>104</v>
      </c>
      <c r="C38" s="2" t="s">
        <v>127</v>
      </c>
      <c r="D38" s="5" t="s">
        <v>118</v>
      </c>
      <c r="E38" s="2" t="s">
        <v>36</v>
      </c>
    </row>
    <row r="39" spans="1:5" x14ac:dyDescent="0.3">
      <c r="A39" s="2" t="s">
        <v>95</v>
      </c>
      <c r="B39" s="2" t="s">
        <v>104</v>
      </c>
      <c r="C39" s="2" t="s">
        <v>127</v>
      </c>
      <c r="D39" s="5" t="s">
        <v>125</v>
      </c>
      <c r="E39" s="2" t="s">
        <v>37</v>
      </c>
    </row>
    <row r="40" spans="1:5" x14ac:dyDescent="0.3">
      <c r="A40" s="2" t="s">
        <v>95</v>
      </c>
      <c r="B40" s="2" t="s">
        <v>105</v>
      </c>
      <c r="C40" s="2" t="s">
        <v>142</v>
      </c>
      <c r="D40" s="5" t="s">
        <v>111</v>
      </c>
      <c r="E40" s="2" t="s">
        <v>38</v>
      </c>
    </row>
    <row r="41" spans="1:5" x14ac:dyDescent="0.3">
      <c r="A41" s="2" t="s">
        <v>95</v>
      </c>
      <c r="B41" s="2" t="s">
        <v>105</v>
      </c>
      <c r="C41" s="2" t="s">
        <v>142</v>
      </c>
      <c r="D41" s="5" t="s">
        <v>107</v>
      </c>
      <c r="E41" s="2" t="s">
        <v>39</v>
      </c>
    </row>
    <row r="42" spans="1:5" x14ac:dyDescent="0.3">
      <c r="A42" s="2" t="s">
        <v>95</v>
      </c>
      <c r="B42" s="2" t="s">
        <v>105</v>
      </c>
      <c r="C42" s="2" t="s">
        <v>142</v>
      </c>
      <c r="D42" s="5" t="s">
        <v>108</v>
      </c>
      <c r="E42" s="2" t="s">
        <v>40</v>
      </c>
    </row>
    <row r="43" spans="1:5" ht="28.8" x14ac:dyDescent="0.3">
      <c r="A43" s="2" t="s">
        <v>95</v>
      </c>
      <c r="B43" s="2" t="s">
        <v>105</v>
      </c>
      <c r="C43" s="2" t="s">
        <v>142</v>
      </c>
      <c r="D43" s="5" t="s">
        <v>109</v>
      </c>
      <c r="E43" s="2" t="s">
        <v>41</v>
      </c>
    </row>
    <row r="44" spans="1:5" x14ac:dyDescent="0.3">
      <c r="A44" s="2" t="s">
        <v>95</v>
      </c>
      <c r="B44" s="2" t="s">
        <v>105</v>
      </c>
      <c r="C44" s="2" t="s">
        <v>142</v>
      </c>
      <c r="D44" s="5" t="s">
        <v>110</v>
      </c>
      <c r="E44" s="2" t="s">
        <v>42</v>
      </c>
    </row>
    <row r="45" spans="1:5" x14ac:dyDescent="0.3">
      <c r="A45" s="2" t="s">
        <v>95</v>
      </c>
      <c r="B45" s="2" t="s">
        <v>105</v>
      </c>
      <c r="C45" s="2" t="s">
        <v>106</v>
      </c>
      <c r="D45" s="5" t="s">
        <v>112</v>
      </c>
      <c r="E45" s="2" t="s">
        <v>43</v>
      </c>
    </row>
    <row r="46" spans="1:5" x14ac:dyDescent="0.3">
      <c r="A46" s="2" t="s">
        <v>95</v>
      </c>
      <c r="B46" s="2" t="s">
        <v>105</v>
      </c>
      <c r="C46" s="2" t="s">
        <v>106</v>
      </c>
      <c r="D46" s="5" t="s">
        <v>113</v>
      </c>
      <c r="E46" s="2" t="s">
        <v>44</v>
      </c>
    </row>
    <row r="47" spans="1:5" x14ac:dyDescent="0.3">
      <c r="A47" s="2" t="s">
        <v>95</v>
      </c>
      <c r="B47" s="2" t="s">
        <v>105</v>
      </c>
      <c r="C47" s="2" t="s">
        <v>106</v>
      </c>
      <c r="D47" s="5" t="s">
        <v>114</v>
      </c>
      <c r="E47" s="2" t="s">
        <v>45</v>
      </c>
    </row>
    <row r="48" spans="1:5" x14ac:dyDescent="0.3">
      <c r="A48" s="2" t="s">
        <v>95</v>
      </c>
      <c r="B48" s="2" t="s">
        <v>105</v>
      </c>
      <c r="C48" s="2" t="s">
        <v>106</v>
      </c>
      <c r="D48" s="5" t="s">
        <v>115</v>
      </c>
      <c r="E48" s="2" t="s">
        <v>46</v>
      </c>
    </row>
    <row r="49" spans="1:5" x14ac:dyDescent="0.3">
      <c r="A49" s="2" t="s">
        <v>95</v>
      </c>
      <c r="B49" s="2" t="s">
        <v>105</v>
      </c>
      <c r="C49" s="2" t="s">
        <v>106</v>
      </c>
      <c r="D49" s="5" t="s">
        <v>150</v>
      </c>
      <c r="E49" s="2" t="s">
        <v>47</v>
      </c>
    </row>
    <row r="50" spans="1:5" x14ac:dyDescent="0.3">
      <c r="A50" s="2" t="s">
        <v>95</v>
      </c>
      <c r="B50" s="2" t="s">
        <v>105</v>
      </c>
      <c r="C50" s="2" t="s">
        <v>106</v>
      </c>
      <c r="D50" s="5" t="s">
        <v>116</v>
      </c>
      <c r="E50" s="2" t="s">
        <v>48</v>
      </c>
    </row>
    <row r="51" spans="1:5" x14ac:dyDescent="0.3">
      <c r="A51" s="2" t="s">
        <v>95</v>
      </c>
      <c r="B51" s="2" t="s">
        <v>105</v>
      </c>
      <c r="C51" s="2" t="s">
        <v>106</v>
      </c>
      <c r="D51" s="5" t="s">
        <v>117</v>
      </c>
      <c r="E51" s="2" t="s">
        <v>49</v>
      </c>
    </row>
    <row r="52" spans="1:5" x14ac:dyDescent="0.3">
      <c r="A52" s="2" t="s">
        <v>92</v>
      </c>
      <c r="B52" s="2" t="s">
        <v>92</v>
      </c>
      <c r="C52" s="2" t="s">
        <v>146</v>
      </c>
      <c r="D52" s="5" t="s">
        <v>141</v>
      </c>
      <c r="E52" s="2" t="s">
        <v>50</v>
      </c>
    </row>
    <row r="53" spans="1:5" x14ac:dyDescent="0.3">
      <c r="A53" s="2" t="s">
        <v>92</v>
      </c>
      <c r="B53" s="2" t="s">
        <v>92</v>
      </c>
      <c r="C53" s="2" t="s">
        <v>145</v>
      </c>
      <c r="D53" s="5" t="s">
        <v>131</v>
      </c>
      <c r="E53" s="2" t="s">
        <v>51</v>
      </c>
    </row>
    <row r="54" spans="1:5" x14ac:dyDescent="0.3">
      <c r="A54" s="2" t="s">
        <v>92</v>
      </c>
      <c r="B54" s="2" t="s">
        <v>92</v>
      </c>
      <c r="C54" s="2" t="s">
        <v>144</v>
      </c>
      <c r="D54" s="5" t="s">
        <v>132</v>
      </c>
      <c r="E54" s="2" t="s">
        <v>52</v>
      </c>
    </row>
    <row r="55" spans="1:5" x14ac:dyDescent="0.3">
      <c r="A55" s="2" t="s">
        <v>92</v>
      </c>
      <c r="B55" s="2" t="s">
        <v>92</v>
      </c>
      <c r="C55" s="2" t="s">
        <v>147</v>
      </c>
      <c r="D55" s="5" t="s">
        <v>128</v>
      </c>
      <c r="E55" s="2" t="s">
        <v>53</v>
      </c>
    </row>
    <row r="56" spans="1:5" x14ac:dyDescent="0.3">
      <c r="A56" s="2" t="s">
        <v>95</v>
      </c>
      <c r="B56" s="2" t="s">
        <v>94</v>
      </c>
      <c r="C56" s="2" t="s">
        <v>94</v>
      </c>
      <c r="D56" s="5" t="s">
        <v>133</v>
      </c>
      <c r="E56" s="2" t="s">
        <v>54</v>
      </c>
    </row>
    <row r="57" spans="1:5" ht="28.8" x14ac:dyDescent="0.3">
      <c r="A57" s="2" t="s">
        <v>95</v>
      </c>
      <c r="B57" s="2" t="s">
        <v>94</v>
      </c>
      <c r="C57" s="2" t="s">
        <v>147</v>
      </c>
      <c r="D57" s="5" t="s">
        <v>148</v>
      </c>
      <c r="E57" s="2" t="s">
        <v>55</v>
      </c>
    </row>
    <row r="58" spans="1:5" x14ac:dyDescent="0.3">
      <c r="A58" s="2" t="s">
        <v>95</v>
      </c>
      <c r="B58" s="2" t="s">
        <v>104</v>
      </c>
      <c r="C58" s="2" t="s">
        <v>143</v>
      </c>
      <c r="D58" s="5" t="s">
        <v>130</v>
      </c>
      <c r="E58" s="2" t="s">
        <v>56</v>
      </c>
    </row>
    <row r="59" spans="1:5" ht="28.8" x14ac:dyDescent="0.3">
      <c r="A59" s="2" t="s">
        <v>95</v>
      </c>
      <c r="B59" s="2" t="s">
        <v>104</v>
      </c>
      <c r="C59" s="2" t="s">
        <v>126</v>
      </c>
      <c r="D59" s="5" t="s">
        <v>129</v>
      </c>
      <c r="E59" s="2" t="s">
        <v>57</v>
      </c>
    </row>
    <row r="60" spans="1:5" x14ac:dyDescent="0.3">
      <c r="A60" s="2" t="s">
        <v>95</v>
      </c>
      <c r="B60" s="2" t="s">
        <v>104</v>
      </c>
      <c r="C60" s="2" t="s">
        <v>127</v>
      </c>
      <c r="D60" s="5" t="s">
        <v>151</v>
      </c>
      <c r="E60" s="2" t="s">
        <v>58</v>
      </c>
    </row>
    <row r="61" spans="1:5" x14ac:dyDescent="0.3">
      <c r="A61" s="2" t="s">
        <v>95</v>
      </c>
      <c r="B61" s="2" t="s">
        <v>104</v>
      </c>
      <c r="C61" s="2" t="s">
        <v>147</v>
      </c>
      <c r="D61" s="5" t="s">
        <v>134</v>
      </c>
      <c r="E61" s="2" t="s">
        <v>59</v>
      </c>
    </row>
    <row r="62" spans="1:5" ht="28.8" x14ac:dyDescent="0.3">
      <c r="A62" s="2" t="s">
        <v>95</v>
      </c>
      <c r="B62" s="2" t="s">
        <v>105</v>
      </c>
      <c r="C62" s="2" t="s">
        <v>142</v>
      </c>
      <c r="D62" s="5" t="s">
        <v>139</v>
      </c>
      <c r="E62" s="2" t="s">
        <v>60</v>
      </c>
    </row>
    <row r="63" spans="1:5" x14ac:dyDescent="0.3">
      <c r="A63" s="2" t="s">
        <v>95</v>
      </c>
      <c r="B63" s="2" t="s">
        <v>105</v>
      </c>
      <c r="C63" s="2" t="s">
        <v>106</v>
      </c>
      <c r="D63" s="5" t="s">
        <v>140</v>
      </c>
      <c r="E63" s="2" t="s">
        <v>61</v>
      </c>
    </row>
    <row r="64" spans="1:5" x14ac:dyDescent="0.3">
      <c r="A64" s="2" t="s">
        <v>95</v>
      </c>
      <c r="B64" s="2" t="s">
        <v>105</v>
      </c>
      <c r="C64" s="2" t="s">
        <v>147</v>
      </c>
      <c r="D64" s="5" t="s">
        <v>135</v>
      </c>
      <c r="E64" s="2" t="s">
        <v>62</v>
      </c>
    </row>
    <row r="65" spans="1:5" ht="28.8" x14ac:dyDescent="0.3">
      <c r="A65" s="2" t="s">
        <v>92</v>
      </c>
      <c r="B65" s="2" t="s">
        <v>147</v>
      </c>
      <c r="C65" s="2" t="s">
        <v>147</v>
      </c>
      <c r="D65" s="5" t="s">
        <v>137</v>
      </c>
      <c r="E65" s="2" t="s">
        <v>63</v>
      </c>
    </row>
    <row r="66" spans="1:5" x14ac:dyDescent="0.3">
      <c r="A66" s="2" t="s">
        <v>95</v>
      </c>
      <c r="B66" s="2" t="s">
        <v>147</v>
      </c>
      <c r="C66" s="2" t="s">
        <v>147</v>
      </c>
      <c r="D66" s="5" t="s">
        <v>136</v>
      </c>
      <c r="E66" s="2" t="s">
        <v>64</v>
      </c>
    </row>
    <row r="67" spans="1:5" x14ac:dyDescent="0.3">
      <c r="A67" s="2" t="s">
        <v>93</v>
      </c>
      <c r="B67" s="2" t="s">
        <v>147</v>
      </c>
      <c r="C67" s="2" t="s">
        <v>147</v>
      </c>
      <c r="D67" s="5" t="s">
        <v>138</v>
      </c>
      <c r="E67" s="2" t="s">
        <v>65</v>
      </c>
    </row>
  </sheetData>
  <conditionalFormatting sqref="D1:D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6C0C-760F-084E-89AD-779B19A2FE97}">
  <dimension ref="A1:E62"/>
  <sheetViews>
    <sheetView zoomScale="150" workbookViewId="0">
      <pane ySplit="1" topLeftCell="A56" activePane="bottomLeft" state="frozen"/>
      <selection pane="bottomLeft" activeCell="B57" sqref="B57"/>
    </sheetView>
  </sheetViews>
  <sheetFormatPr baseColWidth="10" defaultColWidth="10.77734375" defaultRowHeight="14.4" x14ac:dyDescent="0.3"/>
  <cols>
    <col min="1" max="1" width="20.77734375" style="1" bestFit="1" customWidth="1"/>
    <col min="2" max="2" width="40.6640625" style="1" bestFit="1" customWidth="1"/>
    <col min="3" max="3" width="29.33203125" style="1" bestFit="1" customWidth="1"/>
    <col min="4" max="4" width="34.33203125" style="6" bestFit="1" customWidth="1"/>
    <col min="5" max="5" width="11.44140625" style="1" bestFit="1" customWidth="1"/>
    <col min="6" max="16384" width="10.77734375" style="1"/>
  </cols>
  <sheetData>
    <row r="1" spans="1:5" x14ac:dyDescent="0.3">
      <c r="A1" s="3" t="s">
        <v>67</v>
      </c>
      <c r="B1" s="3" t="s">
        <v>68</v>
      </c>
      <c r="C1" s="3" t="s">
        <v>69</v>
      </c>
      <c r="D1" s="4" t="s">
        <v>70</v>
      </c>
      <c r="E1" s="3" t="s">
        <v>66</v>
      </c>
    </row>
    <row r="2" spans="1:5" x14ac:dyDescent="0.3">
      <c r="A2" s="2" t="s">
        <v>92</v>
      </c>
      <c r="B2" s="2" t="s">
        <v>92</v>
      </c>
      <c r="C2" s="2" t="s">
        <v>145</v>
      </c>
      <c r="D2" s="5" t="s">
        <v>152</v>
      </c>
      <c r="E2" s="2" t="s">
        <v>0</v>
      </c>
    </row>
    <row r="3" spans="1:5" x14ac:dyDescent="0.3">
      <c r="A3" s="2" t="s">
        <v>92</v>
      </c>
      <c r="B3" s="2" t="s">
        <v>92</v>
      </c>
      <c r="C3" s="2" t="s">
        <v>145</v>
      </c>
      <c r="D3" s="5" t="s">
        <v>153</v>
      </c>
      <c r="E3" s="2" t="s">
        <v>1</v>
      </c>
    </row>
    <row r="4" spans="1:5" x14ac:dyDescent="0.3">
      <c r="A4" s="2" t="s">
        <v>92</v>
      </c>
      <c r="B4" s="2" t="s">
        <v>92</v>
      </c>
      <c r="C4" s="2" t="s">
        <v>145</v>
      </c>
      <c r="D4" s="5" t="s">
        <v>154</v>
      </c>
      <c r="E4" s="2" t="s">
        <v>2</v>
      </c>
    </row>
    <row r="5" spans="1:5" x14ac:dyDescent="0.3">
      <c r="A5" s="2" t="s">
        <v>92</v>
      </c>
      <c r="B5" s="2" t="s">
        <v>92</v>
      </c>
      <c r="C5" s="2" t="s">
        <v>145</v>
      </c>
      <c r="D5" s="5" t="s">
        <v>155</v>
      </c>
      <c r="E5" s="2" t="s">
        <v>3</v>
      </c>
    </row>
    <row r="6" spans="1:5" x14ac:dyDescent="0.3">
      <c r="A6" s="2" t="s">
        <v>92</v>
      </c>
      <c r="B6" s="2" t="s">
        <v>92</v>
      </c>
      <c r="C6" s="2" t="s">
        <v>145</v>
      </c>
      <c r="D6" s="5" t="s">
        <v>156</v>
      </c>
      <c r="E6" s="2" t="s">
        <v>4</v>
      </c>
    </row>
    <row r="7" spans="1:5" x14ac:dyDescent="0.3">
      <c r="A7" s="2" t="s">
        <v>92</v>
      </c>
      <c r="B7" s="2" t="s">
        <v>92</v>
      </c>
      <c r="C7" s="2" t="s">
        <v>145</v>
      </c>
      <c r="D7" s="5" t="s">
        <v>72</v>
      </c>
      <c r="E7" s="2" t="s">
        <v>5</v>
      </c>
    </row>
    <row r="8" spans="1:5" x14ac:dyDescent="0.3">
      <c r="A8" s="2" t="s">
        <v>92</v>
      </c>
      <c r="B8" s="2" t="s">
        <v>92</v>
      </c>
      <c r="C8" s="2" t="s">
        <v>145</v>
      </c>
      <c r="D8" s="5" t="s">
        <v>73</v>
      </c>
      <c r="E8" s="2" t="s">
        <v>6</v>
      </c>
    </row>
    <row r="9" spans="1:5" ht="28.8" x14ac:dyDescent="0.3">
      <c r="A9" s="2" t="s">
        <v>92</v>
      </c>
      <c r="B9" s="2" t="s">
        <v>92</v>
      </c>
      <c r="C9" s="2" t="s">
        <v>145</v>
      </c>
      <c r="D9" s="5" t="s">
        <v>157</v>
      </c>
      <c r="E9" s="2" t="s">
        <v>7</v>
      </c>
    </row>
    <row r="10" spans="1:5" x14ac:dyDescent="0.3">
      <c r="A10" s="2" t="s">
        <v>92</v>
      </c>
      <c r="B10" s="2" t="s">
        <v>92</v>
      </c>
      <c r="C10" s="2" t="s">
        <v>145</v>
      </c>
      <c r="D10" s="5" t="s">
        <v>158</v>
      </c>
      <c r="E10" s="2" t="s">
        <v>8</v>
      </c>
    </row>
    <row r="11" spans="1:5" x14ac:dyDescent="0.3">
      <c r="A11" s="2" t="s">
        <v>92</v>
      </c>
      <c r="B11" s="2" t="s">
        <v>92</v>
      </c>
      <c r="C11" s="2" t="s">
        <v>144</v>
      </c>
      <c r="D11" s="5" t="s">
        <v>86</v>
      </c>
      <c r="E11" s="2" t="s">
        <v>9</v>
      </c>
    </row>
    <row r="12" spans="1:5" x14ac:dyDescent="0.3">
      <c r="A12" s="2" t="s">
        <v>92</v>
      </c>
      <c r="B12" s="2" t="s">
        <v>92</v>
      </c>
      <c r="C12" s="2" t="s">
        <v>144</v>
      </c>
      <c r="D12" s="5" t="s">
        <v>87</v>
      </c>
      <c r="E12" s="2" t="s">
        <v>10</v>
      </c>
    </row>
    <row r="13" spans="1:5" x14ac:dyDescent="0.3">
      <c r="A13" s="2" t="s">
        <v>92</v>
      </c>
      <c r="B13" s="2" t="s">
        <v>92</v>
      </c>
      <c r="C13" s="2" t="s">
        <v>144</v>
      </c>
      <c r="D13" s="5" t="s">
        <v>88</v>
      </c>
      <c r="E13" s="2" t="s">
        <v>11</v>
      </c>
    </row>
    <row r="14" spans="1:5" x14ac:dyDescent="0.3">
      <c r="A14" s="2" t="s">
        <v>92</v>
      </c>
      <c r="B14" s="2" t="s">
        <v>92</v>
      </c>
      <c r="C14" s="2" t="s">
        <v>144</v>
      </c>
      <c r="D14" s="5" t="s">
        <v>89</v>
      </c>
      <c r="E14" s="2" t="s">
        <v>12</v>
      </c>
    </row>
    <row r="15" spans="1:5" x14ac:dyDescent="0.3">
      <c r="A15" s="2" t="s">
        <v>92</v>
      </c>
      <c r="B15" s="2" t="s">
        <v>92</v>
      </c>
      <c r="C15" s="2" t="s">
        <v>144</v>
      </c>
      <c r="D15" s="5" t="s">
        <v>159</v>
      </c>
      <c r="E15" s="2" t="s">
        <v>13</v>
      </c>
    </row>
    <row r="16" spans="1:5" x14ac:dyDescent="0.3">
      <c r="A16" s="2" t="s">
        <v>92</v>
      </c>
      <c r="B16" s="2" t="s">
        <v>92</v>
      </c>
      <c r="C16" s="2" t="s">
        <v>144</v>
      </c>
      <c r="D16" s="5" t="s">
        <v>160</v>
      </c>
      <c r="E16" s="2" t="s">
        <v>14</v>
      </c>
    </row>
    <row r="17" spans="1:5" x14ac:dyDescent="0.3">
      <c r="A17" s="2" t="s">
        <v>92</v>
      </c>
      <c r="B17" s="2" t="s">
        <v>92</v>
      </c>
      <c r="C17" s="2" t="s">
        <v>144</v>
      </c>
      <c r="D17" s="5" t="s">
        <v>161</v>
      </c>
      <c r="E17" s="2" t="s">
        <v>162</v>
      </c>
    </row>
    <row r="18" spans="1:5" x14ac:dyDescent="0.3">
      <c r="A18" s="2" t="s">
        <v>92</v>
      </c>
      <c r="B18" s="2" t="s">
        <v>92</v>
      </c>
      <c r="C18" s="2" t="s">
        <v>144</v>
      </c>
      <c r="D18" s="5" t="s">
        <v>91</v>
      </c>
      <c r="E18" s="2" t="s">
        <v>163</v>
      </c>
    </row>
    <row r="19" spans="1:5" x14ac:dyDescent="0.3">
      <c r="A19" s="2" t="s">
        <v>95</v>
      </c>
      <c r="B19" s="2" t="s">
        <v>94</v>
      </c>
      <c r="C19" s="2" t="s">
        <v>94</v>
      </c>
      <c r="D19" s="5" t="s">
        <v>96</v>
      </c>
      <c r="E19" s="2" t="s">
        <v>21</v>
      </c>
    </row>
    <row r="20" spans="1:5" x14ac:dyDescent="0.3">
      <c r="A20" s="2" t="s">
        <v>95</v>
      </c>
      <c r="B20" s="2" t="s">
        <v>94</v>
      </c>
      <c r="C20" s="2" t="s">
        <v>94</v>
      </c>
      <c r="D20" s="5" t="s">
        <v>97</v>
      </c>
      <c r="E20" s="2" t="s">
        <v>22</v>
      </c>
    </row>
    <row r="21" spans="1:5" x14ac:dyDescent="0.3">
      <c r="A21" s="2" t="s">
        <v>95</v>
      </c>
      <c r="B21" s="2" t="s">
        <v>94</v>
      </c>
      <c r="C21" s="2" t="s">
        <v>94</v>
      </c>
      <c r="D21" s="5" t="s">
        <v>98</v>
      </c>
      <c r="E21" s="2" t="s">
        <v>23</v>
      </c>
    </row>
    <row r="22" spans="1:5" x14ac:dyDescent="0.3">
      <c r="A22" s="2" t="s">
        <v>95</v>
      </c>
      <c r="B22" s="2" t="s">
        <v>94</v>
      </c>
      <c r="C22" s="2" t="s">
        <v>94</v>
      </c>
      <c r="D22" s="5" t="s">
        <v>99</v>
      </c>
      <c r="E22" s="2" t="s">
        <v>24</v>
      </c>
    </row>
    <row r="23" spans="1:5" x14ac:dyDescent="0.3">
      <c r="A23" s="2" t="s">
        <v>95</v>
      </c>
      <c r="B23" s="2" t="s">
        <v>94</v>
      </c>
      <c r="C23" s="2" t="s">
        <v>94</v>
      </c>
      <c r="D23" s="5" t="s">
        <v>100</v>
      </c>
      <c r="E23" s="2" t="s">
        <v>25</v>
      </c>
    </row>
    <row r="24" spans="1:5" x14ac:dyDescent="0.3">
      <c r="A24" s="2" t="s">
        <v>95</v>
      </c>
      <c r="B24" s="2" t="s">
        <v>94</v>
      </c>
      <c r="C24" s="2" t="s">
        <v>94</v>
      </c>
      <c r="D24" s="5" t="s">
        <v>101</v>
      </c>
      <c r="E24" s="2" t="s">
        <v>26</v>
      </c>
    </row>
    <row r="25" spans="1:5" x14ac:dyDescent="0.3">
      <c r="A25" s="2" t="s">
        <v>95</v>
      </c>
      <c r="B25" s="2" t="s">
        <v>94</v>
      </c>
      <c r="C25" s="2" t="s">
        <v>94</v>
      </c>
      <c r="D25" s="5" t="s">
        <v>102</v>
      </c>
      <c r="E25" s="2" t="s">
        <v>27</v>
      </c>
    </row>
    <row r="26" spans="1:5" x14ac:dyDescent="0.3">
      <c r="A26" s="2" t="s">
        <v>95</v>
      </c>
      <c r="B26" s="2" t="s">
        <v>94</v>
      </c>
      <c r="C26" s="2" t="s">
        <v>94</v>
      </c>
      <c r="D26" s="5" t="s">
        <v>103</v>
      </c>
      <c r="E26" s="2" t="s">
        <v>28</v>
      </c>
    </row>
    <row r="27" spans="1:5" ht="28.8" x14ac:dyDescent="0.3">
      <c r="A27" s="2" t="s">
        <v>95</v>
      </c>
      <c r="B27" s="2" t="s">
        <v>104</v>
      </c>
      <c r="C27" s="2" t="s">
        <v>143</v>
      </c>
      <c r="D27" s="5" t="s">
        <v>119</v>
      </c>
      <c r="E27" s="2" t="s">
        <v>29</v>
      </c>
    </row>
    <row r="28" spans="1:5" x14ac:dyDescent="0.3">
      <c r="A28" s="2" t="s">
        <v>95</v>
      </c>
      <c r="B28" s="2" t="s">
        <v>104</v>
      </c>
      <c r="C28" s="2" t="s">
        <v>143</v>
      </c>
      <c r="D28" s="5" t="s">
        <v>120</v>
      </c>
      <c r="E28" s="2" t="s">
        <v>30</v>
      </c>
    </row>
    <row r="29" spans="1:5" x14ac:dyDescent="0.3">
      <c r="A29" s="2" t="s">
        <v>95</v>
      </c>
      <c r="B29" s="2" t="s">
        <v>104</v>
      </c>
      <c r="C29" s="2" t="s">
        <v>143</v>
      </c>
      <c r="D29" s="5" t="s">
        <v>121</v>
      </c>
      <c r="E29" s="2" t="s">
        <v>31</v>
      </c>
    </row>
    <row r="30" spans="1:5" x14ac:dyDescent="0.3">
      <c r="A30" s="2" t="s">
        <v>95</v>
      </c>
      <c r="B30" s="2" t="s">
        <v>104</v>
      </c>
      <c r="C30" s="2" t="s">
        <v>143</v>
      </c>
      <c r="D30" s="5" t="s">
        <v>122</v>
      </c>
      <c r="E30" s="2" t="s">
        <v>32</v>
      </c>
    </row>
    <row r="31" spans="1:5" x14ac:dyDescent="0.3">
      <c r="A31" s="2" t="s">
        <v>95</v>
      </c>
      <c r="B31" s="2" t="s">
        <v>104</v>
      </c>
      <c r="C31" s="2" t="s">
        <v>126</v>
      </c>
      <c r="D31" s="5" t="s">
        <v>149</v>
      </c>
      <c r="E31" s="2" t="s">
        <v>33</v>
      </c>
    </row>
    <row r="32" spans="1:5" x14ac:dyDescent="0.3">
      <c r="A32" s="2" t="s">
        <v>95</v>
      </c>
      <c r="B32" s="2" t="s">
        <v>104</v>
      </c>
      <c r="C32" s="2" t="s">
        <v>126</v>
      </c>
      <c r="D32" s="5" t="s">
        <v>123</v>
      </c>
      <c r="E32" s="2" t="s">
        <v>34</v>
      </c>
    </row>
    <row r="33" spans="1:5" x14ac:dyDescent="0.3">
      <c r="A33" s="2" t="s">
        <v>95</v>
      </c>
      <c r="B33" s="2" t="s">
        <v>104</v>
      </c>
      <c r="C33" s="2" t="s">
        <v>126</v>
      </c>
      <c r="D33" s="5" t="s">
        <v>124</v>
      </c>
      <c r="E33" s="2" t="s">
        <v>35</v>
      </c>
    </row>
    <row r="34" spans="1:5" ht="28.8" x14ac:dyDescent="0.3">
      <c r="A34" s="2" t="s">
        <v>95</v>
      </c>
      <c r="B34" s="2" t="s">
        <v>104</v>
      </c>
      <c r="C34" s="2" t="s">
        <v>127</v>
      </c>
      <c r="D34" s="5" t="s">
        <v>118</v>
      </c>
      <c r="E34" s="2" t="s">
        <v>36</v>
      </c>
    </row>
    <row r="35" spans="1:5" x14ac:dyDescent="0.3">
      <c r="A35" s="2" t="s">
        <v>95</v>
      </c>
      <c r="B35" s="2" t="s">
        <v>104</v>
      </c>
      <c r="C35" s="2" t="s">
        <v>127</v>
      </c>
      <c r="D35" s="5" t="s">
        <v>125</v>
      </c>
      <c r="E35" s="2" t="s">
        <v>37</v>
      </c>
    </row>
    <row r="36" spans="1:5" x14ac:dyDescent="0.3">
      <c r="A36" s="2" t="s">
        <v>95</v>
      </c>
      <c r="B36" s="2" t="s">
        <v>105</v>
      </c>
      <c r="C36" s="2" t="s">
        <v>142</v>
      </c>
      <c r="D36" s="5" t="s">
        <v>111</v>
      </c>
      <c r="E36" s="2" t="s">
        <v>38</v>
      </c>
    </row>
    <row r="37" spans="1:5" x14ac:dyDescent="0.3">
      <c r="A37" s="2" t="s">
        <v>95</v>
      </c>
      <c r="B37" s="2" t="s">
        <v>105</v>
      </c>
      <c r="C37" s="2" t="s">
        <v>142</v>
      </c>
      <c r="D37" s="5" t="s">
        <v>107</v>
      </c>
      <c r="E37" s="2" t="s">
        <v>39</v>
      </c>
    </row>
    <row r="38" spans="1:5" x14ac:dyDescent="0.3">
      <c r="A38" s="2" t="s">
        <v>95</v>
      </c>
      <c r="B38" s="2" t="s">
        <v>105</v>
      </c>
      <c r="C38" s="2" t="s">
        <v>142</v>
      </c>
      <c r="D38" s="5" t="s">
        <v>108</v>
      </c>
      <c r="E38" s="2" t="s">
        <v>40</v>
      </c>
    </row>
    <row r="39" spans="1:5" ht="28.8" x14ac:dyDescent="0.3">
      <c r="A39" s="2" t="s">
        <v>95</v>
      </c>
      <c r="B39" s="2" t="s">
        <v>105</v>
      </c>
      <c r="C39" s="2" t="s">
        <v>142</v>
      </c>
      <c r="D39" s="5" t="s">
        <v>109</v>
      </c>
      <c r="E39" s="2" t="s">
        <v>41</v>
      </c>
    </row>
    <row r="40" spans="1:5" x14ac:dyDescent="0.3">
      <c r="A40" s="2" t="s">
        <v>95</v>
      </c>
      <c r="B40" s="2" t="s">
        <v>105</v>
      </c>
      <c r="C40" s="2" t="s">
        <v>142</v>
      </c>
      <c r="D40" s="5" t="s">
        <v>110</v>
      </c>
      <c r="E40" s="2" t="s">
        <v>42</v>
      </c>
    </row>
    <row r="41" spans="1:5" x14ac:dyDescent="0.3">
      <c r="A41" s="2" t="s">
        <v>95</v>
      </c>
      <c r="B41" s="2" t="s">
        <v>105</v>
      </c>
      <c r="C41" s="2" t="s">
        <v>106</v>
      </c>
      <c r="D41" s="5" t="s">
        <v>112</v>
      </c>
      <c r="E41" s="2" t="s">
        <v>43</v>
      </c>
    </row>
    <row r="42" spans="1:5" x14ac:dyDescent="0.3">
      <c r="A42" s="2" t="s">
        <v>95</v>
      </c>
      <c r="B42" s="2" t="s">
        <v>105</v>
      </c>
      <c r="C42" s="2" t="s">
        <v>106</v>
      </c>
      <c r="D42" s="5" t="s">
        <v>113</v>
      </c>
      <c r="E42" s="2" t="s">
        <v>44</v>
      </c>
    </row>
    <row r="43" spans="1:5" x14ac:dyDescent="0.3">
      <c r="A43" s="2" t="s">
        <v>95</v>
      </c>
      <c r="B43" s="2" t="s">
        <v>105</v>
      </c>
      <c r="C43" s="2" t="s">
        <v>106</v>
      </c>
      <c r="D43" s="5" t="s">
        <v>114</v>
      </c>
      <c r="E43" s="2" t="s">
        <v>45</v>
      </c>
    </row>
    <row r="44" spans="1:5" x14ac:dyDescent="0.3">
      <c r="A44" s="2" t="s">
        <v>95</v>
      </c>
      <c r="B44" s="2" t="s">
        <v>105</v>
      </c>
      <c r="C44" s="2" t="s">
        <v>106</v>
      </c>
      <c r="D44" s="5" t="s">
        <v>115</v>
      </c>
      <c r="E44" s="2" t="s">
        <v>46</v>
      </c>
    </row>
    <row r="45" spans="1:5" x14ac:dyDescent="0.3">
      <c r="A45" s="2" t="s">
        <v>95</v>
      </c>
      <c r="B45" s="2" t="s">
        <v>105</v>
      </c>
      <c r="C45" s="2" t="s">
        <v>106</v>
      </c>
      <c r="D45" s="5" t="s">
        <v>150</v>
      </c>
      <c r="E45" s="2" t="s">
        <v>47</v>
      </c>
    </row>
    <row r="46" spans="1:5" x14ac:dyDescent="0.3">
      <c r="A46" s="2" t="s">
        <v>95</v>
      </c>
      <c r="B46" s="2" t="s">
        <v>105</v>
      </c>
      <c r="C46" s="2" t="s">
        <v>106</v>
      </c>
      <c r="D46" s="5" t="s">
        <v>116</v>
      </c>
      <c r="E46" s="2" t="s">
        <v>48</v>
      </c>
    </row>
    <row r="47" spans="1:5" x14ac:dyDescent="0.3">
      <c r="A47" s="2" t="s">
        <v>95</v>
      </c>
      <c r="B47" s="2" t="s">
        <v>105</v>
      </c>
      <c r="C47" s="2" t="s">
        <v>106</v>
      </c>
      <c r="D47" s="5" t="s">
        <v>117</v>
      </c>
      <c r="E47" s="2" t="s">
        <v>49</v>
      </c>
    </row>
    <row r="48" spans="1:5" x14ac:dyDescent="0.3">
      <c r="A48" s="2" t="s">
        <v>92</v>
      </c>
      <c r="B48" s="2" t="s">
        <v>92</v>
      </c>
      <c r="C48" s="2" t="s">
        <v>145</v>
      </c>
      <c r="D48" s="5" t="s">
        <v>131</v>
      </c>
      <c r="E48" s="2" t="s">
        <v>50</v>
      </c>
    </row>
    <row r="49" spans="1:5" x14ac:dyDescent="0.3">
      <c r="A49" s="2" t="s">
        <v>92</v>
      </c>
      <c r="B49" s="2" t="s">
        <v>92</v>
      </c>
      <c r="C49" s="2" t="s">
        <v>144</v>
      </c>
      <c r="D49" s="5" t="s">
        <v>132</v>
      </c>
      <c r="E49" s="2" t="s">
        <v>51</v>
      </c>
    </row>
    <row r="50" spans="1:5" x14ac:dyDescent="0.3">
      <c r="A50" s="2" t="s">
        <v>92</v>
      </c>
      <c r="B50" s="2" t="s">
        <v>92</v>
      </c>
      <c r="C50" s="2" t="s">
        <v>147</v>
      </c>
      <c r="D50" s="5" t="s">
        <v>128</v>
      </c>
      <c r="E50" s="2" t="s">
        <v>53</v>
      </c>
    </row>
    <row r="51" spans="1:5" x14ac:dyDescent="0.3">
      <c r="A51" s="2" t="s">
        <v>95</v>
      </c>
      <c r="B51" s="2" t="s">
        <v>94</v>
      </c>
      <c r="C51" s="2" t="s">
        <v>94</v>
      </c>
      <c r="D51" s="5" t="s">
        <v>133</v>
      </c>
      <c r="E51" s="2" t="s">
        <v>54</v>
      </c>
    </row>
    <row r="52" spans="1:5" ht="28.8" x14ac:dyDescent="0.3">
      <c r="A52" s="2" t="s">
        <v>95</v>
      </c>
      <c r="B52" s="2" t="s">
        <v>94</v>
      </c>
      <c r="C52" s="2" t="s">
        <v>147</v>
      </c>
      <c r="D52" s="5" t="s">
        <v>148</v>
      </c>
      <c r="E52" s="2" t="s">
        <v>55</v>
      </c>
    </row>
    <row r="53" spans="1:5" x14ac:dyDescent="0.3">
      <c r="A53" s="2" t="s">
        <v>95</v>
      </c>
      <c r="B53" s="2" t="s">
        <v>104</v>
      </c>
      <c r="C53" s="2" t="s">
        <v>143</v>
      </c>
      <c r="D53" s="5" t="s">
        <v>130</v>
      </c>
      <c r="E53" s="2" t="s">
        <v>56</v>
      </c>
    </row>
    <row r="54" spans="1:5" ht="28.8" x14ac:dyDescent="0.3">
      <c r="A54" s="2" t="s">
        <v>95</v>
      </c>
      <c r="B54" s="2" t="s">
        <v>104</v>
      </c>
      <c r="C54" s="2" t="s">
        <v>126</v>
      </c>
      <c r="D54" s="5" t="s">
        <v>129</v>
      </c>
      <c r="E54" s="2" t="s">
        <v>57</v>
      </c>
    </row>
    <row r="55" spans="1:5" x14ac:dyDescent="0.3">
      <c r="A55" s="2" t="s">
        <v>95</v>
      </c>
      <c r="B55" s="2" t="s">
        <v>104</v>
      </c>
      <c r="C55" s="2" t="s">
        <v>127</v>
      </c>
      <c r="D55" s="5" t="s">
        <v>151</v>
      </c>
      <c r="E55" s="2" t="s">
        <v>58</v>
      </c>
    </row>
    <row r="56" spans="1:5" x14ac:dyDescent="0.3">
      <c r="A56" s="2" t="s">
        <v>95</v>
      </c>
      <c r="B56" s="2" t="s">
        <v>104</v>
      </c>
      <c r="C56" s="2" t="s">
        <v>147</v>
      </c>
      <c r="D56" s="5" t="s">
        <v>134</v>
      </c>
      <c r="E56" s="2" t="s">
        <v>59</v>
      </c>
    </row>
    <row r="57" spans="1:5" ht="28.8" x14ac:dyDescent="0.3">
      <c r="A57" s="2" t="s">
        <v>95</v>
      </c>
      <c r="B57" s="2" t="s">
        <v>105</v>
      </c>
      <c r="C57" s="2" t="s">
        <v>142</v>
      </c>
      <c r="D57" s="5" t="s">
        <v>139</v>
      </c>
      <c r="E57" s="2" t="s">
        <v>60</v>
      </c>
    </row>
    <row r="58" spans="1:5" x14ac:dyDescent="0.3">
      <c r="A58" s="2" t="s">
        <v>95</v>
      </c>
      <c r="B58" s="2" t="s">
        <v>105</v>
      </c>
      <c r="C58" s="2" t="s">
        <v>106</v>
      </c>
      <c r="D58" s="5" t="s">
        <v>140</v>
      </c>
      <c r="E58" s="2" t="s">
        <v>61</v>
      </c>
    </row>
    <row r="59" spans="1:5" x14ac:dyDescent="0.3">
      <c r="A59" s="2" t="s">
        <v>95</v>
      </c>
      <c r="B59" s="2" t="s">
        <v>105</v>
      </c>
      <c r="C59" s="2" t="s">
        <v>147</v>
      </c>
      <c r="D59" s="5" t="s">
        <v>135</v>
      </c>
      <c r="E59" s="2" t="s">
        <v>62</v>
      </c>
    </row>
    <row r="60" spans="1:5" ht="28.8" x14ac:dyDescent="0.3">
      <c r="A60" s="2" t="s">
        <v>92</v>
      </c>
      <c r="B60" s="2" t="s">
        <v>147</v>
      </c>
      <c r="C60" s="2" t="s">
        <v>147</v>
      </c>
      <c r="D60" s="5" t="s">
        <v>137</v>
      </c>
      <c r="E60" s="2" t="s">
        <v>63</v>
      </c>
    </row>
    <row r="61" spans="1:5" x14ac:dyDescent="0.3">
      <c r="A61" s="2" t="s">
        <v>95</v>
      </c>
      <c r="B61" s="2" t="s">
        <v>147</v>
      </c>
      <c r="C61" s="2" t="s">
        <v>147</v>
      </c>
      <c r="D61" s="5" t="s">
        <v>136</v>
      </c>
      <c r="E61" s="2" t="s">
        <v>64</v>
      </c>
    </row>
    <row r="62" spans="1:5" x14ac:dyDescent="0.3">
      <c r="A62" s="2" t="s">
        <v>93</v>
      </c>
      <c r="B62" s="2" t="s">
        <v>147</v>
      </c>
      <c r="C62" s="2" t="s">
        <v>147</v>
      </c>
      <c r="D62" s="5" t="s">
        <v>138</v>
      </c>
      <c r="E62" s="2" t="s">
        <v>65</v>
      </c>
    </row>
  </sheetData>
  <phoneticPr fontId="6" type="noConversion"/>
  <conditionalFormatting sqref="D1:D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08BE-040E-9A49-BDC1-4A678D2A3277}">
  <dimension ref="A1:J75"/>
  <sheetViews>
    <sheetView topLeftCell="E34" zoomScale="110" zoomScaleNormal="110" workbookViewId="0">
      <selection activeCell="G2" sqref="G2:G61"/>
    </sheetView>
  </sheetViews>
  <sheetFormatPr baseColWidth="10" defaultRowHeight="14.4" x14ac:dyDescent="0.3"/>
  <cols>
    <col min="1" max="1" width="38.44140625" style="1" bestFit="1" customWidth="1"/>
    <col min="2" max="2" width="43" style="1" bestFit="1" customWidth="1"/>
    <col min="3" max="3" width="47" style="1" bestFit="1" customWidth="1"/>
    <col min="4" max="4" width="56.109375" style="1" customWidth="1"/>
    <col min="5" max="5" width="13.77734375" style="1" customWidth="1"/>
    <col min="7" max="7" width="74.21875" customWidth="1"/>
    <col min="8" max="8" width="57.44140625" customWidth="1"/>
  </cols>
  <sheetData>
    <row r="1" spans="1:10" x14ac:dyDescent="0.3">
      <c r="A1" s="3" t="s">
        <v>67</v>
      </c>
      <c r="B1" s="3" t="s">
        <v>68</v>
      </c>
      <c r="C1" s="3" t="s">
        <v>69</v>
      </c>
      <c r="D1" s="4" t="s">
        <v>70</v>
      </c>
      <c r="E1" s="3" t="s">
        <v>66</v>
      </c>
    </row>
    <row r="2" spans="1:10" x14ac:dyDescent="0.3">
      <c r="A2" s="7" t="s">
        <v>167</v>
      </c>
      <c r="B2" s="7" t="s">
        <v>224</v>
      </c>
      <c r="C2" s="7" t="s">
        <v>94</v>
      </c>
      <c r="D2" s="7" t="s">
        <v>195</v>
      </c>
      <c r="E2" s="7" t="s">
        <v>228</v>
      </c>
      <c r="G2" t="s">
        <v>305</v>
      </c>
      <c r="H2" t="s">
        <v>305</v>
      </c>
      <c r="J2" t="b">
        <f>G2=H2</f>
        <v>1</v>
      </c>
    </row>
    <row r="3" spans="1:10" x14ac:dyDescent="0.3">
      <c r="A3" s="7" t="s">
        <v>167</v>
      </c>
      <c r="B3" s="7" t="s">
        <v>224</v>
      </c>
      <c r="C3" s="7" t="s">
        <v>94</v>
      </c>
      <c r="D3" s="7" t="s">
        <v>196</v>
      </c>
      <c r="E3" s="7" t="s">
        <v>229</v>
      </c>
      <c r="G3" t="s">
        <v>196</v>
      </c>
      <c r="H3" t="s">
        <v>196</v>
      </c>
      <c r="J3" t="b">
        <f t="shared" ref="J3:J61" si="0">G3=H3</f>
        <v>1</v>
      </c>
    </row>
    <row r="4" spans="1:10" x14ac:dyDescent="0.3">
      <c r="A4" s="7" t="s">
        <v>167</v>
      </c>
      <c r="B4" s="7" t="s">
        <v>224</v>
      </c>
      <c r="C4" s="7" t="s">
        <v>94</v>
      </c>
      <c r="D4" s="7" t="s">
        <v>197</v>
      </c>
      <c r="E4" s="7" t="s">
        <v>230</v>
      </c>
      <c r="G4" t="s">
        <v>306</v>
      </c>
      <c r="H4" t="s">
        <v>306</v>
      </c>
      <c r="J4" t="b">
        <f t="shared" si="0"/>
        <v>1</v>
      </c>
    </row>
    <row r="5" spans="1:10" x14ac:dyDescent="0.3">
      <c r="A5" s="7" t="s">
        <v>167</v>
      </c>
      <c r="B5" s="7" t="s">
        <v>225</v>
      </c>
      <c r="C5" s="7" t="s">
        <v>189</v>
      </c>
      <c r="D5" s="7" t="s">
        <v>198</v>
      </c>
      <c r="E5" s="7" t="s">
        <v>231</v>
      </c>
      <c r="G5" t="s">
        <v>198</v>
      </c>
      <c r="H5" t="s">
        <v>198</v>
      </c>
      <c r="J5" t="b">
        <f t="shared" si="0"/>
        <v>1</v>
      </c>
    </row>
    <row r="6" spans="1:10" x14ac:dyDescent="0.3">
      <c r="A6" s="7" t="s">
        <v>167</v>
      </c>
      <c r="B6" s="7" t="s">
        <v>225</v>
      </c>
      <c r="C6" s="7" t="s">
        <v>189</v>
      </c>
      <c r="D6" s="7" t="s">
        <v>199</v>
      </c>
      <c r="E6" s="7" t="s">
        <v>232</v>
      </c>
      <c r="G6" t="s">
        <v>199</v>
      </c>
      <c r="H6" t="s">
        <v>199</v>
      </c>
      <c r="J6" t="b">
        <f t="shared" si="0"/>
        <v>1</v>
      </c>
    </row>
    <row r="7" spans="1:10" x14ac:dyDescent="0.3">
      <c r="A7" s="7" t="s">
        <v>167</v>
      </c>
      <c r="B7" s="7" t="s">
        <v>225</v>
      </c>
      <c r="C7" s="7" t="s">
        <v>189</v>
      </c>
      <c r="D7" s="7" t="s">
        <v>200</v>
      </c>
      <c r="E7" s="7" t="s">
        <v>233</v>
      </c>
      <c r="G7" t="s">
        <v>200</v>
      </c>
      <c r="H7" t="s">
        <v>200</v>
      </c>
      <c r="J7" t="b">
        <f t="shared" si="0"/>
        <v>1</v>
      </c>
    </row>
    <row r="8" spans="1:10" x14ac:dyDescent="0.3">
      <c r="A8" s="7" t="s">
        <v>167</v>
      </c>
      <c r="B8" s="7" t="s">
        <v>225</v>
      </c>
      <c r="C8" s="7" t="s">
        <v>190</v>
      </c>
      <c r="D8" s="7" t="s">
        <v>201</v>
      </c>
      <c r="E8" s="7" t="s">
        <v>234</v>
      </c>
      <c r="G8" t="s">
        <v>307</v>
      </c>
      <c r="H8" t="s">
        <v>307</v>
      </c>
      <c r="J8" t="b">
        <f t="shared" si="0"/>
        <v>1</v>
      </c>
    </row>
    <row r="9" spans="1:10" x14ac:dyDescent="0.3">
      <c r="A9" s="7" t="s">
        <v>167</v>
      </c>
      <c r="B9" s="7" t="s">
        <v>225</v>
      </c>
      <c r="C9" s="7" t="s">
        <v>190</v>
      </c>
      <c r="D9" s="7" t="s">
        <v>202</v>
      </c>
      <c r="E9" s="7" t="s">
        <v>235</v>
      </c>
      <c r="G9" t="s">
        <v>202</v>
      </c>
      <c r="H9" t="s">
        <v>202</v>
      </c>
      <c r="J9" t="b">
        <f t="shared" si="0"/>
        <v>1</v>
      </c>
    </row>
    <row r="10" spans="1:10" x14ac:dyDescent="0.3">
      <c r="A10" s="7" t="s">
        <v>167</v>
      </c>
      <c r="B10" s="7" t="s">
        <v>225</v>
      </c>
      <c r="C10" s="7" t="s">
        <v>191</v>
      </c>
      <c r="D10" s="7" t="s">
        <v>165</v>
      </c>
      <c r="E10" s="7" t="s">
        <v>236</v>
      </c>
      <c r="G10" t="s">
        <v>165</v>
      </c>
      <c r="H10" t="s">
        <v>165</v>
      </c>
      <c r="J10" t="b">
        <f t="shared" si="0"/>
        <v>1</v>
      </c>
    </row>
    <row r="11" spans="1:10" x14ac:dyDescent="0.3">
      <c r="A11" s="7" t="s">
        <v>167</v>
      </c>
      <c r="B11" s="7" t="s">
        <v>225</v>
      </c>
      <c r="C11" s="7" t="s">
        <v>191</v>
      </c>
      <c r="D11" s="7" t="s">
        <v>166</v>
      </c>
      <c r="E11" s="7" t="s">
        <v>237</v>
      </c>
      <c r="G11" t="s">
        <v>166</v>
      </c>
      <c r="H11" t="s">
        <v>166</v>
      </c>
      <c r="J11" t="b">
        <f t="shared" si="0"/>
        <v>1</v>
      </c>
    </row>
    <row r="12" spans="1:10" x14ac:dyDescent="0.3">
      <c r="A12" s="7" t="s">
        <v>167</v>
      </c>
      <c r="B12" s="7" t="s">
        <v>225</v>
      </c>
      <c r="C12" s="7" t="s">
        <v>191</v>
      </c>
      <c r="D12" s="7" t="s">
        <v>203</v>
      </c>
      <c r="E12" s="7" t="s">
        <v>238</v>
      </c>
      <c r="G12" t="s">
        <v>203</v>
      </c>
      <c r="H12" t="s">
        <v>203</v>
      </c>
      <c r="J12" t="b">
        <f t="shared" si="0"/>
        <v>1</v>
      </c>
    </row>
    <row r="13" spans="1:10" x14ac:dyDescent="0.3">
      <c r="A13" s="7" t="s">
        <v>167</v>
      </c>
      <c r="B13" s="7" t="s">
        <v>225</v>
      </c>
      <c r="C13" s="7" t="s">
        <v>191</v>
      </c>
      <c r="D13" s="7" t="s">
        <v>204</v>
      </c>
      <c r="E13" s="7" t="s">
        <v>239</v>
      </c>
      <c r="G13" t="s">
        <v>204</v>
      </c>
      <c r="H13" t="s">
        <v>204</v>
      </c>
      <c r="J13" t="b">
        <f t="shared" si="0"/>
        <v>1</v>
      </c>
    </row>
    <row r="14" spans="1:10" x14ac:dyDescent="0.3">
      <c r="A14" s="7" t="s">
        <v>167</v>
      </c>
      <c r="B14" s="7" t="s">
        <v>225</v>
      </c>
      <c r="C14" s="7" t="s">
        <v>191</v>
      </c>
      <c r="D14" s="7" t="s">
        <v>205</v>
      </c>
      <c r="E14" s="7" t="s">
        <v>240</v>
      </c>
      <c r="G14" t="s">
        <v>205</v>
      </c>
      <c r="H14" t="s">
        <v>205</v>
      </c>
      <c r="J14" t="b">
        <f t="shared" si="0"/>
        <v>1</v>
      </c>
    </row>
    <row r="15" spans="1:10" x14ac:dyDescent="0.3">
      <c r="A15" s="7" t="s">
        <v>167</v>
      </c>
      <c r="B15" s="7" t="s">
        <v>225</v>
      </c>
      <c r="C15" s="7" t="s">
        <v>191</v>
      </c>
      <c r="D15" s="7" t="s">
        <v>206</v>
      </c>
      <c r="E15" s="7" t="s">
        <v>241</v>
      </c>
      <c r="G15" t="s">
        <v>206</v>
      </c>
      <c r="H15" t="s">
        <v>206</v>
      </c>
      <c r="J15" t="b">
        <f t="shared" si="0"/>
        <v>1</v>
      </c>
    </row>
    <row r="16" spans="1:10" x14ac:dyDescent="0.3">
      <c r="A16" s="7" t="s">
        <v>167</v>
      </c>
      <c r="B16" s="7" t="s">
        <v>225</v>
      </c>
      <c r="C16" s="7" t="s">
        <v>191</v>
      </c>
      <c r="D16" s="7" t="s">
        <v>207</v>
      </c>
      <c r="E16" s="7" t="s">
        <v>242</v>
      </c>
      <c r="G16" t="s">
        <v>207</v>
      </c>
      <c r="H16" t="s">
        <v>207</v>
      </c>
      <c r="J16" t="b">
        <f t="shared" si="0"/>
        <v>1</v>
      </c>
    </row>
    <row r="17" spans="1:10" x14ac:dyDescent="0.3">
      <c r="A17" s="11" t="s">
        <v>167</v>
      </c>
      <c r="B17" s="11" t="s">
        <v>226</v>
      </c>
      <c r="C17" s="11" t="s">
        <v>192</v>
      </c>
      <c r="D17" s="11" t="s">
        <v>292</v>
      </c>
      <c r="E17" s="7" t="s">
        <v>243</v>
      </c>
      <c r="G17" s="10" t="s">
        <v>308</v>
      </c>
      <c r="H17" s="10" t="s">
        <v>308</v>
      </c>
      <c r="J17" t="b">
        <f t="shared" si="0"/>
        <v>1</v>
      </c>
    </row>
    <row r="18" spans="1:10" x14ac:dyDescent="0.3">
      <c r="A18" s="7" t="s">
        <v>167</v>
      </c>
      <c r="B18" s="7" t="s">
        <v>226</v>
      </c>
      <c r="C18" s="7" t="s">
        <v>192</v>
      </c>
      <c r="D18" s="7" t="s">
        <v>168</v>
      </c>
      <c r="E18" s="7" t="s">
        <v>244</v>
      </c>
      <c r="G18" t="s">
        <v>168</v>
      </c>
      <c r="H18" t="s">
        <v>168</v>
      </c>
      <c r="J18" t="b">
        <f t="shared" si="0"/>
        <v>1</v>
      </c>
    </row>
    <row r="19" spans="1:10" x14ac:dyDescent="0.3">
      <c r="A19" s="7" t="s">
        <v>167</v>
      </c>
      <c r="B19" s="7" t="s">
        <v>226</v>
      </c>
      <c r="C19" s="7" t="s">
        <v>192</v>
      </c>
      <c r="D19" s="7" t="s">
        <v>208</v>
      </c>
      <c r="E19" s="7" t="s">
        <v>245</v>
      </c>
      <c r="G19" t="s">
        <v>208</v>
      </c>
      <c r="H19" t="s">
        <v>208</v>
      </c>
      <c r="J19" t="b">
        <f t="shared" si="0"/>
        <v>1</v>
      </c>
    </row>
    <row r="20" spans="1:10" x14ac:dyDescent="0.3">
      <c r="A20" s="7" t="s">
        <v>167</v>
      </c>
      <c r="B20" s="7" t="s">
        <v>226</v>
      </c>
      <c r="C20" s="7" t="s">
        <v>192</v>
      </c>
      <c r="D20" s="7" t="s">
        <v>209</v>
      </c>
      <c r="E20" s="7" t="s">
        <v>246</v>
      </c>
      <c r="G20" t="s">
        <v>209</v>
      </c>
      <c r="H20" t="s">
        <v>209</v>
      </c>
      <c r="J20" t="b">
        <f>G20=H20</f>
        <v>1</v>
      </c>
    </row>
    <row r="21" spans="1:10" x14ac:dyDescent="0.3">
      <c r="A21" s="7" t="s">
        <v>167</v>
      </c>
      <c r="B21" s="7" t="s">
        <v>226</v>
      </c>
      <c r="C21" s="7" t="s">
        <v>192</v>
      </c>
      <c r="D21" s="7" t="s">
        <v>210</v>
      </c>
      <c r="E21" s="7" t="s">
        <v>247</v>
      </c>
      <c r="G21" t="s">
        <v>210</v>
      </c>
      <c r="H21" t="s">
        <v>210</v>
      </c>
      <c r="J21" t="b">
        <f t="shared" si="0"/>
        <v>1</v>
      </c>
    </row>
    <row r="22" spans="1:10" x14ac:dyDescent="0.3">
      <c r="A22" s="7" t="s">
        <v>167</v>
      </c>
      <c r="B22" s="7" t="s">
        <v>226</v>
      </c>
      <c r="C22" s="7" t="s">
        <v>192</v>
      </c>
      <c r="D22" s="9" t="s">
        <v>303</v>
      </c>
      <c r="E22" s="9" t="s">
        <v>301</v>
      </c>
      <c r="G22" t="s">
        <v>303</v>
      </c>
      <c r="H22" t="s">
        <v>303</v>
      </c>
      <c r="J22" t="b">
        <f t="shared" si="0"/>
        <v>1</v>
      </c>
    </row>
    <row r="23" spans="1:10" x14ac:dyDescent="0.3">
      <c r="A23" s="7" t="s">
        <v>167</v>
      </c>
      <c r="B23" s="7" t="s">
        <v>226</v>
      </c>
      <c r="C23" s="7" t="s">
        <v>192</v>
      </c>
      <c r="D23" s="9" t="s">
        <v>304</v>
      </c>
      <c r="E23" s="9" t="s">
        <v>302</v>
      </c>
      <c r="G23" t="s">
        <v>304</v>
      </c>
      <c r="H23" t="s">
        <v>304</v>
      </c>
      <c r="J23" t="b">
        <f t="shared" si="0"/>
        <v>1</v>
      </c>
    </row>
    <row r="24" spans="1:10" x14ac:dyDescent="0.3">
      <c r="A24" s="7" t="s">
        <v>167</v>
      </c>
      <c r="B24" s="7" t="s">
        <v>226</v>
      </c>
      <c r="C24" s="7" t="s">
        <v>193</v>
      </c>
      <c r="D24" s="7" t="s">
        <v>211</v>
      </c>
      <c r="E24" s="7" t="s">
        <v>248</v>
      </c>
      <c r="G24" t="s">
        <v>211</v>
      </c>
      <c r="H24" t="s">
        <v>211</v>
      </c>
      <c r="J24" t="b">
        <f t="shared" si="0"/>
        <v>1</v>
      </c>
    </row>
    <row r="25" spans="1:10" x14ac:dyDescent="0.3">
      <c r="A25" s="7" t="s">
        <v>167</v>
      </c>
      <c r="B25" s="7" t="s">
        <v>226</v>
      </c>
      <c r="C25" s="7" t="s">
        <v>193</v>
      </c>
      <c r="D25" s="7" t="s">
        <v>294</v>
      </c>
      <c r="E25" s="7" t="s">
        <v>249</v>
      </c>
      <c r="G25" t="s">
        <v>309</v>
      </c>
      <c r="H25" t="s">
        <v>309</v>
      </c>
      <c r="J25" t="b">
        <f t="shared" si="0"/>
        <v>1</v>
      </c>
    </row>
    <row r="26" spans="1:10" x14ac:dyDescent="0.3">
      <c r="A26" s="7" t="s">
        <v>167</v>
      </c>
      <c r="B26" s="7" t="s">
        <v>226</v>
      </c>
      <c r="C26" s="7" t="s">
        <v>194</v>
      </c>
      <c r="D26" s="7" t="s">
        <v>212</v>
      </c>
      <c r="E26" s="7" t="s">
        <v>250</v>
      </c>
      <c r="G26" t="s">
        <v>212</v>
      </c>
      <c r="H26" t="s">
        <v>212</v>
      </c>
      <c r="J26" t="b">
        <f t="shared" si="0"/>
        <v>1</v>
      </c>
    </row>
    <row r="27" spans="1:10" x14ac:dyDescent="0.3">
      <c r="A27" s="7" t="s">
        <v>167</v>
      </c>
      <c r="B27" s="7" t="s">
        <v>226</v>
      </c>
      <c r="C27" s="7" t="s">
        <v>194</v>
      </c>
      <c r="D27" s="7" t="s">
        <v>213</v>
      </c>
      <c r="E27" s="7" t="s">
        <v>251</v>
      </c>
      <c r="G27" t="s">
        <v>213</v>
      </c>
      <c r="H27" t="s">
        <v>213</v>
      </c>
      <c r="J27" t="b">
        <f t="shared" si="0"/>
        <v>1</v>
      </c>
    </row>
    <row r="28" spans="1:10" x14ac:dyDescent="0.3">
      <c r="A28" s="11" t="s">
        <v>167</v>
      </c>
      <c r="B28" s="11" t="s">
        <v>226</v>
      </c>
      <c r="C28" s="11" t="s">
        <v>194</v>
      </c>
      <c r="D28" s="11" t="s">
        <v>293</v>
      </c>
      <c r="E28" s="7" t="s">
        <v>252</v>
      </c>
      <c r="G28" s="10" t="s">
        <v>331</v>
      </c>
      <c r="H28" s="10" t="s">
        <v>308</v>
      </c>
      <c r="J28" t="b">
        <f t="shared" si="0"/>
        <v>0</v>
      </c>
    </row>
    <row r="29" spans="1:10" x14ac:dyDescent="0.3">
      <c r="A29" s="7" t="s">
        <v>167</v>
      </c>
      <c r="B29" s="7" t="s">
        <v>226</v>
      </c>
      <c r="C29" s="7" t="s">
        <v>194</v>
      </c>
      <c r="D29" s="7" t="s">
        <v>214</v>
      </c>
      <c r="E29" s="7" t="s">
        <v>253</v>
      </c>
      <c r="G29" t="s">
        <v>214</v>
      </c>
      <c r="H29" t="s">
        <v>214</v>
      </c>
      <c r="J29" t="b">
        <f t="shared" si="0"/>
        <v>1</v>
      </c>
    </row>
    <row r="30" spans="1:10" x14ac:dyDescent="0.3">
      <c r="A30" s="7" t="s">
        <v>167</v>
      </c>
      <c r="B30" s="7" t="s">
        <v>226</v>
      </c>
      <c r="C30" s="7" t="s">
        <v>194</v>
      </c>
      <c r="D30" s="7" t="s">
        <v>215</v>
      </c>
      <c r="E30" s="7" t="s">
        <v>254</v>
      </c>
      <c r="G30" t="s">
        <v>215</v>
      </c>
      <c r="H30" t="s">
        <v>215</v>
      </c>
      <c r="J30" t="b">
        <f t="shared" si="0"/>
        <v>1</v>
      </c>
    </row>
    <row r="31" spans="1:10" x14ac:dyDescent="0.3">
      <c r="A31" s="7" t="s">
        <v>167</v>
      </c>
      <c r="B31" s="7" t="s">
        <v>226</v>
      </c>
      <c r="C31" s="7" t="s">
        <v>194</v>
      </c>
      <c r="D31" s="7" t="s">
        <v>216</v>
      </c>
      <c r="E31" s="7" t="s">
        <v>255</v>
      </c>
      <c r="G31" t="s">
        <v>310</v>
      </c>
      <c r="H31" t="s">
        <v>310</v>
      </c>
      <c r="J31" t="b">
        <f t="shared" si="0"/>
        <v>1</v>
      </c>
    </row>
    <row r="32" spans="1:10" x14ac:dyDescent="0.3">
      <c r="A32" s="7" t="s">
        <v>167</v>
      </c>
      <c r="B32" s="7" t="s">
        <v>226</v>
      </c>
      <c r="C32" s="7" t="s">
        <v>194</v>
      </c>
      <c r="D32" s="8" t="s">
        <v>298</v>
      </c>
      <c r="E32" s="7" t="s">
        <v>256</v>
      </c>
      <c r="G32" t="s">
        <v>298</v>
      </c>
      <c r="H32" t="s">
        <v>298</v>
      </c>
      <c r="J32" t="b">
        <f t="shared" si="0"/>
        <v>1</v>
      </c>
    </row>
    <row r="33" spans="1:10" x14ac:dyDescent="0.3">
      <c r="A33" s="7" t="s">
        <v>167</v>
      </c>
      <c r="B33" s="7" t="s">
        <v>226</v>
      </c>
      <c r="C33" s="7" t="s">
        <v>194</v>
      </c>
      <c r="D33" s="8" t="s">
        <v>299</v>
      </c>
      <c r="E33" s="7" t="s">
        <v>257</v>
      </c>
      <c r="G33" t="s">
        <v>299</v>
      </c>
      <c r="H33" t="s">
        <v>299</v>
      </c>
      <c r="J33" t="b">
        <f t="shared" si="0"/>
        <v>1</v>
      </c>
    </row>
    <row r="34" spans="1:10" x14ac:dyDescent="0.3">
      <c r="A34" s="7" t="s">
        <v>167</v>
      </c>
      <c r="B34" s="7" t="s">
        <v>226</v>
      </c>
      <c r="C34" s="7" t="s">
        <v>194</v>
      </c>
      <c r="D34" s="7" t="s">
        <v>217</v>
      </c>
      <c r="E34" s="7" t="s">
        <v>258</v>
      </c>
      <c r="G34" t="s">
        <v>217</v>
      </c>
      <c r="H34" t="s">
        <v>217</v>
      </c>
      <c r="J34" t="b">
        <f t="shared" si="0"/>
        <v>1</v>
      </c>
    </row>
    <row r="35" spans="1:10" x14ac:dyDescent="0.3">
      <c r="A35" s="7" t="s">
        <v>167</v>
      </c>
      <c r="B35" s="7" t="s">
        <v>226</v>
      </c>
      <c r="C35" s="7" t="s">
        <v>194</v>
      </c>
      <c r="D35" s="8" t="s">
        <v>300</v>
      </c>
      <c r="E35" s="7" t="s">
        <v>259</v>
      </c>
      <c r="G35" t="s">
        <v>300</v>
      </c>
      <c r="H35" t="s">
        <v>300</v>
      </c>
      <c r="J35" t="b">
        <f t="shared" si="0"/>
        <v>1</v>
      </c>
    </row>
    <row r="36" spans="1:10" x14ac:dyDescent="0.3">
      <c r="A36" s="7" t="s">
        <v>167</v>
      </c>
      <c r="B36" s="7" t="s">
        <v>226</v>
      </c>
      <c r="C36" s="7" t="s">
        <v>194</v>
      </c>
      <c r="D36" s="7" t="s">
        <v>218</v>
      </c>
      <c r="E36" s="7" t="s">
        <v>260</v>
      </c>
      <c r="G36" t="s">
        <v>218</v>
      </c>
      <c r="H36" t="s">
        <v>218</v>
      </c>
      <c r="J36" t="b">
        <f t="shared" si="0"/>
        <v>1</v>
      </c>
    </row>
    <row r="37" spans="1:10" x14ac:dyDescent="0.3">
      <c r="A37" s="7" t="s">
        <v>167</v>
      </c>
      <c r="B37" s="7" t="s">
        <v>226</v>
      </c>
      <c r="C37" s="7" t="s">
        <v>194</v>
      </c>
      <c r="D37" s="7" t="s">
        <v>219</v>
      </c>
      <c r="E37" s="7" t="s">
        <v>261</v>
      </c>
      <c r="G37" t="s">
        <v>219</v>
      </c>
      <c r="H37" t="s">
        <v>219</v>
      </c>
      <c r="J37" t="b">
        <f t="shared" si="0"/>
        <v>1</v>
      </c>
    </row>
    <row r="38" spans="1:10" x14ac:dyDescent="0.3">
      <c r="A38" s="7" t="s">
        <v>167</v>
      </c>
      <c r="B38" s="7" t="s">
        <v>226</v>
      </c>
      <c r="C38" s="7" t="s">
        <v>194</v>
      </c>
      <c r="D38" s="7" t="s">
        <v>220</v>
      </c>
      <c r="E38" s="7" t="s">
        <v>262</v>
      </c>
      <c r="G38" t="s">
        <v>220</v>
      </c>
      <c r="H38" t="s">
        <v>220</v>
      </c>
      <c r="J38" t="b">
        <f t="shared" si="0"/>
        <v>1</v>
      </c>
    </row>
    <row r="39" spans="1:10" x14ac:dyDescent="0.3">
      <c r="A39" s="7" t="s">
        <v>167</v>
      </c>
      <c r="B39" s="7" t="s">
        <v>226</v>
      </c>
      <c r="C39" s="7" t="s">
        <v>194</v>
      </c>
      <c r="D39" s="7" t="s">
        <v>221</v>
      </c>
      <c r="E39" s="8" t="s">
        <v>295</v>
      </c>
      <c r="G39" t="s">
        <v>221</v>
      </c>
      <c r="H39" t="s">
        <v>221</v>
      </c>
      <c r="J39" t="b">
        <f t="shared" si="0"/>
        <v>1</v>
      </c>
    </row>
    <row r="40" spans="1:10" x14ac:dyDescent="0.3">
      <c r="A40" s="7" t="s">
        <v>167</v>
      </c>
      <c r="B40" s="7" t="s">
        <v>226</v>
      </c>
      <c r="C40" s="7" t="s">
        <v>194</v>
      </c>
      <c r="D40" s="7" t="s">
        <v>222</v>
      </c>
      <c r="E40" s="8" t="s">
        <v>296</v>
      </c>
      <c r="G40" t="s">
        <v>222</v>
      </c>
      <c r="H40" t="s">
        <v>222</v>
      </c>
      <c r="J40" t="b">
        <f t="shared" si="0"/>
        <v>1</v>
      </c>
    </row>
    <row r="41" spans="1:10" x14ac:dyDescent="0.3">
      <c r="A41" s="7" t="s">
        <v>167</v>
      </c>
      <c r="B41" s="7" t="s">
        <v>226</v>
      </c>
      <c r="C41" s="7" t="s">
        <v>194</v>
      </c>
      <c r="D41" s="7" t="s">
        <v>223</v>
      </c>
      <c r="E41" s="8" t="s">
        <v>297</v>
      </c>
      <c r="G41" t="s">
        <v>223</v>
      </c>
      <c r="H41" t="s">
        <v>223</v>
      </c>
      <c r="J41" t="b">
        <f t="shared" si="0"/>
        <v>1</v>
      </c>
    </row>
    <row r="42" spans="1:10" x14ac:dyDescent="0.3">
      <c r="A42" s="7" t="s">
        <v>175</v>
      </c>
      <c r="B42" s="7" t="s">
        <v>184</v>
      </c>
      <c r="C42" s="7" t="s">
        <v>185</v>
      </c>
      <c r="D42" s="7" t="s">
        <v>152</v>
      </c>
      <c r="E42" s="7" t="s">
        <v>263</v>
      </c>
      <c r="G42" t="s">
        <v>311</v>
      </c>
      <c r="J42" t="b">
        <f t="shared" si="0"/>
        <v>0</v>
      </c>
    </row>
    <row r="43" spans="1:10" x14ac:dyDescent="0.3">
      <c r="A43" s="7" t="s">
        <v>175</v>
      </c>
      <c r="B43" s="7" t="s">
        <v>184</v>
      </c>
      <c r="C43" s="7" t="s">
        <v>185</v>
      </c>
      <c r="D43" s="7" t="s">
        <v>169</v>
      </c>
      <c r="E43" s="7" t="s">
        <v>264</v>
      </c>
      <c r="G43" t="s">
        <v>312</v>
      </c>
      <c r="J43" t="b">
        <f t="shared" si="0"/>
        <v>0</v>
      </c>
    </row>
    <row r="44" spans="1:10" x14ac:dyDescent="0.3">
      <c r="A44" s="7" t="s">
        <v>175</v>
      </c>
      <c r="B44" s="7" t="s">
        <v>184</v>
      </c>
      <c r="C44" s="7" t="s">
        <v>185</v>
      </c>
      <c r="D44" s="7" t="s">
        <v>170</v>
      </c>
      <c r="E44" s="7" t="s">
        <v>265</v>
      </c>
      <c r="G44" t="s">
        <v>313</v>
      </c>
      <c r="J44" t="b">
        <f t="shared" si="0"/>
        <v>0</v>
      </c>
    </row>
    <row r="45" spans="1:10" x14ac:dyDescent="0.3">
      <c r="A45" s="7" t="s">
        <v>175</v>
      </c>
      <c r="B45" s="7" t="s">
        <v>184</v>
      </c>
      <c r="C45" s="7" t="s">
        <v>185</v>
      </c>
      <c r="D45" s="7" t="s">
        <v>171</v>
      </c>
      <c r="E45" s="7" t="s">
        <v>266</v>
      </c>
      <c r="G45" t="s">
        <v>314</v>
      </c>
      <c r="J45" t="b">
        <f t="shared" si="0"/>
        <v>0</v>
      </c>
    </row>
    <row r="46" spans="1:10" x14ac:dyDescent="0.3">
      <c r="A46" s="7" t="s">
        <v>175</v>
      </c>
      <c r="B46" s="7" t="s">
        <v>184</v>
      </c>
      <c r="C46" s="7" t="s">
        <v>185</v>
      </c>
      <c r="D46" s="7" t="s">
        <v>154</v>
      </c>
      <c r="E46" s="7" t="s">
        <v>267</v>
      </c>
      <c r="G46" t="s">
        <v>315</v>
      </c>
      <c r="J46" t="b">
        <f t="shared" si="0"/>
        <v>0</v>
      </c>
    </row>
    <row r="47" spans="1:10" x14ac:dyDescent="0.3">
      <c r="A47" s="7" t="s">
        <v>175</v>
      </c>
      <c r="B47" s="7" t="s">
        <v>184</v>
      </c>
      <c r="C47" s="7" t="s">
        <v>185</v>
      </c>
      <c r="D47" s="7" t="s">
        <v>78</v>
      </c>
      <c r="E47" s="7" t="s">
        <v>268</v>
      </c>
      <c r="G47" t="s">
        <v>316</v>
      </c>
      <c r="J47" t="b">
        <f t="shared" si="0"/>
        <v>0</v>
      </c>
    </row>
    <row r="48" spans="1:10" x14ac:dyDescent="0.3">
      <c r="A48" s="7" t="s">
        <v>175</v>
      </c>
      <c r="B48" s="7" t="s">
        <v>184</v>
      </c>
      <c r="C48" s="7" t="s">
        <v>185</v>
      </c>
      <c r="D48" s="7" t="s">
        <v>186</v>
      </c>
      <c r="E48" s="7" t="s">
        <v>269</v>
      </c>
      <c r="G48" t="s">
        <v>317</v>
      </c>
      <c r="J48" t="b">
        <f t="shared" si="0"/>
        <v>0</v>
      </c>
    </row>
    <row r="49" spans="1:10" x14ac:dyDescent="0.3">
      <c r="A49" s="7" t="s">
        <v>175</v>
      </c>
      <c r="B49" s="7" t="s">
        <v>184</v>
      </c>
      <c r="C49" s="7" t="s">
        <v>185</v>
      </c>
      <c r="D49" s="7" t="s">
        <v>72</v>
      </c>
      <c r="E49" s="7" t="s">
        <v>270</v>
      </c>
      <c r="G49" t="s">
        <v>318</v>
      </c>
      <c r="J49" t="b">
        <f t="shared" si="0"/>
        <v>0</v>
      </c>
    </row>
    <row r="50" spans="1:10" x14ac:dyDescent="0.3">
      <c r="A50" s="7" t="s">
        <v>175</v>
      </c>
      <c r="B50" s="7" t="s">
        <v>184</v>
      </c>
      <c r="C50" s="7" t="s">
        <v>185</v>
      </c>
      <c r="D50" s="7" t="s">
        <v>73</v>
      </c>
      <c r="E50" s="7" t="s">
        <v>271</v>
      </c>
      <c r="G50" t="s">
        <v>319</v>
      </c>
      <c r="J50" t="b">
        <f t="shared" si="0"/>
        <v>0</v>
      </c>
    </row>
    <row r="51" spans="1:10" x14ac:dyDescent="0.3">
      <c r="A51" s="7" t="s">
        <v>175</v>
      </c>
      <c r="B51" s="7" t="s">
        <v>184</v>
      </c>
      <c r="C51" s="7" t="s">
        <v>185</v>
      </c>
      <c r="D51" s="7" t="s">
        <v>187</v>
      </c>
      <c r="E51" s="7" t="s">
        <v>272</v>
      </c>
      <c r="G51" t="s">
        <v>320</v>
      </c>
      <c r="J51" t="b">
        <f t="shared" si="0"/>
        <v>0</v>
      </c>
    </row>
    <row r="52" spans="1:10" x14ac:dyDescent="0.3">
      <c r="A52" s="7" t="s">
        <v>175</v>
      </c>
      <c r="B52" s="7" t="s">
        <v>184</v>
      </c>
      <c r="C52" s="7" t="s">
        <v>185</v>
      </c>
      <c r="D52" s="7" t="s">
        <v>158</v>
      </c>
      <c r="E52" s="7" t="s">
        <v>273</v>
      </c>
      <c r="G52" t="s">
        <v>321</v>
      </c>
      <c r="J52" t="b">
        <f t="shared" si="0"/>
        <v>0</v>
      </c>
    </row>
    <row r="53" spans="1:10" x14ac:dyDescent="0.3">
      <c r="A53" s="7" t="s">
        <v>175</v>
      </c>
      <c r="B53" s="7" t="s">
        <v>184</v>
      </c>
      <c r="C53" s="7" t="s">
        <v>185</v>
      </c>
      <c r="D53" s="7" t="s">
        <v>172</v>
      </c>
      <c r="E53" s="7" t="s">
        <v>274</v>
      </c>
      <c r="G53" t="s">
        <v>322</v>
      </c>
      <c r="J53" t="b">
        <f t="shared" si="0"/>
        <v>0</v>
      </c>
    </row>
    <row r="54" spans="1:10" x14ac:dyDescent="0.3">
      <c r="A54" s="7" t="s">
        <v>175</v>
      </c>
      <c r="B54" s="7" t="s">
        <v>184</v>
      </c>
      <c r="C54" s="7" t="s">
        <v>188</v>
      </c>
      <c r="D54" s="7" t="s">
        <v>177</v>
      </c>
      <c r="E54" s="7" t="s">
        <v>275</v>
      </c>
      <c r="G54" t="s">
        <v>323</v>
      </c>
      <c r="J54" t="b">
        <f t="shared" si="0"/>
        <v>0</v>
      </c>
    </row>
    <row r="55" spans="1:10" x14ac:dyDescent="0.3">
      <c r="A55" s="7" t="s">
        <v>175</v>
      </c>
      <c r="B55" s="7" t="s">
        <v>184</v>
      </c>
      <c r="C55" s="7" t="s">
        <v>188</v>
      </c>
      <c r="D55" s="7" t="s">
        <v>178</v>
      </c>
      <c r="E55" s="7" t="s">
        <v>276</v>
      </c>
      <c r="G55" t="s">
        <v>324</v>
      </c>
      <c r="J55" t="b">
        <f t="shared" si="0"/>
        <v>0</v>
      </c>
    </row>
    <row r="56" spans="1:10" x14ac:dyDescent="0.3">
      <c r="A56" s="7" t="s">
        <v>175</v>
      </c>
      <c r="B56" s="7" t="s">
        <v>184</v>
      </c>
      <c r="C56" s="7" t="s">
        <v>188</v>
      </c>
      <c r="D56" s="7" t="s">
        <v>179</v>
      </c>
      <c r="E56" s="7" t="s">
        <v>277</v>
      </c>
      <c r="G56" t="s">
        <v>325</v>
      </c>
      <c r="J56" t="b">
        <f t="shared" si="0"/>
        <v>0</v>
      </c>
    </row>
    <row r="57" spans="1:10" x14ac:dyDescent="0.3">
      <c r="A57" s="7" t="s">
        <v>175</v>
      </c>
      <c r="B57" s="7" t="s">
        <v>184</v>
      </c>
      <c r="C57" s="7" t="s">
        <v>188</v>
      </c>
      <c r="D57" s="7" t="s">
        <v>180</v>
      </c>
      <c r="E57" s="7" t="s">
        <v>278</v>
      </c>
      <c r="G57" t="s">
        <v>326</v>
      </c>
      <c r="J57" t="b">
        <f t="shared" si="0"/>
        <v>0</v>
      </c>
    </row>
    <row r="58" spans="1:10" x14ac:dyDescent="0.3">
      <c r="A58" s="7" t="s">
        <v>175</v>
      </c>
      <c r="B58" s="7" t="s">
        <v>184</v>
      </c>
      <c r="C58" s="7" t="s">
        <v>188</v>
      </c>
      <c r="D58" s="7" t="s">
        <v>181</v>
      </c>
      <c r="E58" s="7" t="s">
        <v>279</v>
      </c>
      <c r="G58" t="s">
        <v>327</v>
      </c>
      <c r="J58" t="b">
        <f t="shared" si="0"/>
        <v>0</v>
      </c>
    </row>
    <row r="59" spans="1:10" x14ac:dyDescent="0.3">
      <c r="A59" s="7" t="s">
        <v>175</v>
      </c>
      <c r="B59" s="7" t="s">
        <v>184</v>
      </c>
      <c r="C59" s="7" t="s">
        <v>188</v>
      </c>
      <c r="D59" s="7" t="s">
        <v>160</v>
      </c>
      <c r="E59" s="7" t="s">
        <v>280</v>
      </c>
      <c r="G59" t="s">
        <v>328</v>
      </c>
      <c r="J59" t="b">
        <f t="shared" si="0"/>
        <v>0</v>
      </c>
    </row>
    <row r="60" spans="1:10" x14ac:dyDescent="0.3">
      <c r="A60" s="7" t="s">
        <v>175</v>
      </c>
      <c r="B60" s="7" t="s">
        <v>184</v>
      </c>
      <c r="C60" s="7" t="s">
        <v>188</v>
      </c>
      <c r="D60" s="7" t="s">
        <v>182</v>
      </c>
      <c r="E60" s="7" t="s">
        <v>281</v>
      </c>
      <c r="G60" t="s">
        <v>329</v>
      </c>
      <c r="J60" t="b">
        <f t="shared" si="0"/>
        <v>0</v>
      </c>
    </row>
    <row r="61" spans="1:10" x14ac:dyDescent="0.3">
      <c r="A61" s="7" t="s">
        <v>175</v>
      </c>
      <c r="B61" s="7" t="s">
        <v>184</v>
      </c>
      <c r="C61" s="7" t="s">
        <v>188</v>
      </c>
      <c r="D61" s="7" t="s">
        <v>183</v>
      </c>
      <c r="E61" s="7" t="s">
        <v>282</v>
      </c>
      <c r="G61" t="s">
        <v>330</v>
      </c>
      <c r="J61" t="b">
        <f t="shared" si="0"/>
        <v>0</v>
      </c>
    </row>
    <row r="62" spans="1:10" x14ac:dyDescent="0.3">
      <c r="A62" s="7" t="s">
        <v>167</v>
      </c>
      <c r="B62" s="7" t="s">
        <v>224</v>
      </c>
      <c r="C62" s="7" t="s">
        <v>94</v>
      </c>
      <c r="D62" s="7" t="str">
        <f>"Índice de "&amp;LOWER(C62)</f>
        <v>Índice de calidad de las respuestas (pqrsd)</v>
      </c>
      <c r="E62" s="7" t="s">
        <v>50</v>
      </c>
    </row>
    <row r="63" spans="1:10" x14ac:dyDescent="0.3">
      <c r="A63" s="7" t="s">
        <v>167</v>
      </c>
      <c r="B63" s="7" t="s">
        <v>225</v>
      </c>
      <c r="C63" s="7" t="s">
        <v>189</v>
      </c>
      <c r="D63" s="7" t="str">
        <f t="shared" ref="D63:D68" si="1">"Índice de "&amp;LOWER(C63)</f>
        <v>Índice de digitalización y automatización de trámites</v>
      </c>
      <c r="E63" s="7" t="s">
        <v>285</v>
      </c>
    </row>
    <row r="64" spans="1:10" x14ac:dyDescent="0.3">
      <c r="A64" s="7" t="s">
        <v>167</v>
      </c>
      <c r="B64" s="7" t="s">
        <v>225</v>
      </c>
      <c r="C64" s="7" t="s">
        <v>190</v>
      </c>
      <c r="D64" s="7" t="str">
        <f t="shared" si="1"/>
        <v>Índice de ahorros en los requisitos y tiempos</v>
      </c>
      <c r="E64" s="7" t="s">
        <v>286</v>
      </c>
    </row>
    <row r="65" spans="1:5" x14ac:dyDescent="0.3">
      <c r="A65" s="7" t="s">
        <v>167</v>
      </c>
      <c r="B65" s="7" t="s">
        <v>225</v>
      </c>
      <c r="C65" s="7" t="s">
        <v>191</v>
      </c>
      <c r="D65" s="7" t="str">
        <f t="shared" si="1"/>
        <v>Índice de integración tecnológica</v>
      </c>
      <c r="E65" s="7" t="s">
        <v>287</v>
      </c>
    </row>
    <row r="66" spans="1:5" x14ac:dyDescent="0.3">
      <c r="A66" s="7" t="s">
        <v>167</v>
      </c>
      <c r="B66" s="7" t="s">
        <v>226</v>
      </c>
      <c r="C66" s="7" t="s">
        <v>192</v>
      </c>
      <c r="D66" s="7" t="str">
        <f t="shared" si="1"/>
        <v>Índice de evaluación de capacidad instalada</v>
      </c>
      <c r="E66" s="7" t="s">
        <v>288</v>
      </c>
    </row>
    <row r="67" spans="1:5" x14ac:dyDescent="0.3">
      <c r="A67" s="7" t="s">
        <v>167</v>
      </c>
      <c r="B67" s="7" t="s">
        <v>226</v>
      </c>
      <c r="C67" s="7" t="s">
        <v>193</v>
      </c>
      <c r="D67" s="7" t="str">
        <f t="shared" si="1"/>
        <v>Índice de evaluación de habilidades</v>
      </c>
      <c r="E67" s="7" t="s">
        <v>289</v>
      </c>
    </row>
    <row r="68" spans="1:5" x14ac:dyDescent="0.3">
      <c r="A68" s="7" t="s">
        <v>167</v>
      </c>
      <c r="B68" s="7" t="s">
        <v>226</v>
      </c>
      <c r="C68" s="7" t="s">
        <v>194</v>
      </c>
      <c r="D68" s="7" t="str">
        <f t="shared" si="1"/>
        <v>Índice de estándares y protocolos de atención</v>
      </c>
      <c r="E68" s="7" t="s">
        <v>290</v>
      </c>
    </row>
    <row r="69" spans="1:5" x14ac:dyDescent="0.3">
      <c r="A69" s="7" t="s">
        <v>176</v>
      </c>
      <c r="B69" s="7" t="s">
        <v>184</v>
      </c>
      <c r="C69" s="7" t="s">
        <v>185</v>
      </c>
      <c r="D69" s="7" t="s">
        <v>173</v>
      </c>
      <c r="E69" s="7" t="s">
        <v>284</v>
      </c>
    </row>
    <row r="70" spans="1:5" x14ac:dyDescent="0.3">
      <c r="A70" s="7" t="s">
        <v>176</v>
      </c>
      <c r="B70" s="7" t="s">
        <v>184</v>
      </c>
      <c r="C70" s="7" t="s">
        <v>188</v>
      </c>
      <c r="D70" s="7" t="s">
        <v>174</v>
      </c>
      <c r="E70" s="7" t="s">
        <v>283</v>
      </c>
    </row>
    <row r="71" spans="1:5" x14ac:dyDescent="0.3">
      <c r="A71" s="7" t="s">
        <v>167</v>
      </c>
      <c r="B71" s="7" t="s">
        <v>224</v>
      </c>
      <c r="C71" s="7" t="s">
        <v>147</v>
      </c>
      <c r="D71" s="7" t="s">
        <v>291</v>
      </c>
      <c r="E71" s="7" t="s">
        <v>53</v>
      </c>
    </row>
    <row r="72" spans="1:5" x14ac:dyDescent="0.3">
      <c r="A72" s="7" t="s">
        <v>167</v>
      </c>
      <c r="B72" s="7" t="s">
        <v>225</v>
      </c>
      <c r="C72" s="7" t="s">
        <v>147</v>
      </c>
      <c r="D72" s="7" t="s">
        <v>164</v>
      </c>
      <c r="E72" s="7" t="s">
        <v>55</v>
      </c>
    </row>
    <row r="73" spans="1:5" x14ac:dyDescent="0.3">
      <c r="A73" s="7" t="s">
        <v>167</v>
      </c>
      <c r="B73" s="7" t="s">
        <v>226</v>
      </c>
      <c r="C73" s="7" t="s">
        <v>147</v>
      </c>
      <c r="D73" s="7" t="s">
        <v>227</v>
      </c>
      <c r="E73" s="7" t="s">
        <v>59</v>
      </c>
    </row>
    <row r="74" spans="1:5" x14ac:dyDescent="0.3">
      <c r="A74" s="7" t="s">
        <v>176</v>
      </c>
      <c r="B74" s="7" t="s">
        <v>147</v>
      </c>
      <c r="C74" s="7" t="s">
        <v>147</v>
      </c>
      <c r="D74" s="7" t="s">
        <v>176</v>
      </c>
      <c r="E74" s="7" t="s">
        <v>64</v>
      </c>
    </row>
    <row r="75" spans="1:5" x14ac:dyDescent="0.3">
      <c r="A75" s="7" t="s">
        <v>167</v>
      </c>
      <c r="B75" s="7" t="s">
        <v>147</v>
      </c>
      <c r="C75" s="7" t="s">
        <v>147</v>
      </c>
      <c r="D75" s="7" t="s">
        <v>167</v>
      </c>
      <c r="E75" s="7" t="s">
        <v>63</v>
      </c>
    </row>
  </sheetData>
  <phoneticPr fontId="6" type="noConversion"/>
  <conditionalFormatting sqref="D1">
    <cfRule type="duplicateValues" dxfId="3" priority="3"/>
  </conditionalFormatting>
  <conditionalFormatting sqref="D2:D75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0F7-6190-48B7-9573-C3BE511F14DC}">
  <dimension ref="A1:E74"/>
  <sheetViews>
    <sheetView tabSelected="1" topLeftCell="A52" zoomScale="110" zoomScaleNormal="110" workbookViewId="0">
      <selection activeCell="E64" sqref="E64"/>
    </sheetView>
  </sheetViews>
  <sheetFormatPr baseColWidth="10" defaultRowHeight="14.4" x14ac:dyDescent="0.3"/>
  <cols>
    <col min="1" max="1" width="38.44140625" style="1" bestFit="1" customWidth="1"/>
    <col min="2" max="2" width="43" style="1" bestFit="1" customWidth="1"/>
    <col min="3" max="3" width="47" style="1" bestFit="1" customWidth="1"/>
    <col min="4" max="4" width="70.6640625" style="1" bestFit="1" customWidth="1"/>
    <col min="5" max="5" width="13.77734375" style="1" customWidth="1"/>
  </cols>
  <sheetData>
    <row r="1" spans="1:5" x14ac:dyDescent="0.3">
      <c r="A1" s="3" t="s">
        <v>67</v>
      </c>
      <c r="B1" s="3" t="s">
        <v>68</v>
      </c>
      <c r="C1" s="3" t="s">
        <v>69</v>
      </c>
      <c r="D1" s="4" t="s">
        <v>70</v>
      </c>
      <c r="E1" s="3" t="s">
        <v>66</v>
      </c>
    </row>
    <row r="2" spans="1:5" x14ac:dyDescent="0.3">
      <c r="A2" s="7" t="s">
        <v>167</v>
      </c>
      <c r="B2" s="7" t="s">
        <v>224</v>
      </c>
      <c r="C2" s="7" t="s">
        <v>94</v>
      </c>
      <c r="D2" s="7" t="s">
        <v>305</v>
      </c>
      <c r="E2" s="7" t="s">
        <v>228</v>
      </c>
    </row>
    <row r="3" spans="1:5" x14ac:dyDescent="0.3">
      <c r="A3" s="7" t="s">
        <v>167</v>
      </c>
      <c r="B3" s="7" t="s">
        <v>224</v>
      </c>
      <c r="C3" s="7" t="s">
        <v>94</v>
      </c>
      <c r="D3" s="7" t="s">
        <v>306</v>
      </c>
      <c r="E3" s="7" t="s">
        <v>229</v>
      </c>
    </row>
    <row r="4" spans="1:5" x14ac:dyDescent="0.3">
      <c r="A4" s="7" t="s">
        <v>167</v>
      </c>
      <c r="B4" s="7" t="s">
        <v>225</v>
      </c>
      <c r="C4" s="7" t="s">
        <v>189</v>
      </c>
      <c r="D4" s="7" t="s">
        <v>198</v>
      </c>
      <c r="E4" s="7" t="s">
        <v>231</v>
      </c>
    </row>
    <row r="5" spans="1:5" x14ac:dyDescent="0.3">
      <c r="A5" s="7" t="s">
        <v>167</v>
      </c>
      <c r="B5" s="7" t="s">
        <v>225</v>
      </c>
      <c r="C5" s="7" t="s">
        <v>189</v>
      </c>
      <c r="D5" s="7" t="s">
        <v>199</v>
      </c>
      <c r="E5" s="7" t="s">
        <v>232</v>
      </c>
    </row>
    <row r="6" spans="1:5" x14ac:dyDescent="0.3">
      <c r="A6" s="7" t="s">
        <v>167</v>
      </c>
      <c r="B6" s="7" t="s">
        <v>225</v>
      </c>
      <c r="C6" s="7" t="s">
        <v>189</v>
      </c>
      <c r="D6" s="7" t="s">
        <v>200</v>
      </c>
      <c r="E6" s="7" t="s">
        <v>233</v>
      </c>
    </row>
    <row r="7" spans="1:5" x14ac:dyDescent="0.3">
      <c r="A7" s="7" t="s">
        <v>167</v>
      </c>
      <c r="B7" s="7" t="s">
        <v>225</v>
      </c>
      <c r="C7" s="7" t="s">
        <v>190</v>
      </c>
      <c r="D7" s="7" t="s">
        <v>307</v>
      </c>
      <c r="E7" s="7" t="s">
        <v>234</v>
      </c>
    </row>
    <row r="8" spans="1:5" x14ac:dyDescent="0.3">
      <c r="A8" s="7" t="s">
        <v>167</v>
      </c>
      <c r="B8" s="7" t="s">
        <v>225</v>
      </c>
      <c r="C8" s="7" t="s">
        <v>190</v>
      </c>
      <c r="D8" s="7" t="s">
        <v>202</v>
      </c>
      <c r="E8" s="7" t="s">
        <v>235</v>
      </c>
    </row>
    <row r="9" spans="1:5" x14ac:dyDescent="0.3">
      <c r="A9" s="7" t="s">
        <v>167</v>
      </c>
      <c r="B9" s="7" t="s">
        <v>225</v>
      </c>
      <c r="C9" s="7" t="s">
        <v>332</v>
      </c>
      <c r="D9" s="7" t="s">
        <v>165</v>
      </c>
      <c r="E9" s="7" t="s">
        <v>236</v>
      </c>
    </row>
    <row r="10" spans="1:5" x14ac:dyDescent="0.3">
      <c r="A10" s="7" t="s">
        <v>167</v>
      </c>
      <c r="B10" s="7" t="s">
        <v>225</v>
      </c>
      <c r="C10" s="7" t="s">
        <v>332</v>
      </c>
      <c r="D10" s="7" t="s">
        <v>166</v>
      </c>
      <c r="E10" s="7" t="s">
        <v>237</v>
      </c>
    </row>
    <row r="11" spans="1:5" x14ac:dyDescent="0.3">
      <c r="A11" s="7" t="s">
        <v>167</v>
      </c>
      <c r="B11" s="7" t="s">
        <v>225</v>
      </c>
      <c r="C11" s="7" t="s">
        <v>332</v>
      </c>
      <c r="D11" s="7" t="s">
        <v>203</v>
      </c>
      <c r="E11" s="7" t="s">
        <v>238</v>
      </c>
    </row>
    <row r="12" spans="1:5" x14ac:dyDescent="0.3">
      <c r="A12" s="7" t="s">
        <v>167</v>
      </c>
      <c r="B12" s="7" t="s">
        <v>225</v>
      </c>
      <c r="C12" s="7" t="s">
        <v>332</v>
      </c>
      <c r="D12" s="7" t="s">
        <v>204</v>
      </c>
      <c r="E12" s="7" t="s">
        <v>239</v>
      </c>
    </row>
    <row r="13" spans="1:5" x14ac:dyDescent="0.3">
      <c r="A13" s="7" t="s">
        <v>167</v>
      </c>
      <c r="B13" s="7" t="s">
        <v>225</v>
      </c>
      <c r="C13" s="7" t="s">
        <v>332</v>
      </c>
      <c r="D13" s="7" t="s">
        <v>334</v>
      </c>
      <c r="E13" s="7" t="s">
        <v>240</v>
      </c>
    </row>
    <row r="14" spans="1:5" x14ac:dyDescent="0.3">
      <c r="A14" s="7" t="s">
        <v>167</v>
      </c>
      <c r="B14" s="7" t="s">
        <v>225</v>
      </c>
      <c r="C14" s="7" t="s">
        <v>332</v>
      </c>
      <c r="D14" s="7" t="s">
        <v>335</v>
      </c>
      <c r="E14" s="7" t="s">
        <v>241</v>
      </c>
    </row>
    <row r="15" spans="1:5" x14ac:dyDescent="0.3">
      <c r="A15" s="7" t="s">
        <v>167</v>
      </c>
      <c r="B15" s="7" t="s">
        <v>225</v>
      </c>
      <c r="C15" s="7" t="s">
        <v>332</v>
      </c>
      <c r="D15" s="7" t="s">
        <v>336</v>
      </c>
      <c r="E15" s="7" t="s">
        <v>242</v>
      </c>
    </row>
    <row r="16" spans="1:5" x14ac:dyDescent="0.3">
      <c r="A16" s="7" t="s">
        <v>167</v>
      </c>
      <c r="B16" s="7" t="s">
        <v>226</v>
      </c>
      <c r="C16" s="7" t="s">
        <v>192</v>
      </c>
      <c r="D16" s="7" t="s">
        <v>337</v>
      </c>
      <c r="E16" s="7" t="s">
        <v>243</v>
      </c>
    </row>
    <row r="17" spans="1:5" x14ac:dyDescent="0.3">
      <c r="A17" s="7" t="s">
        <v>167</v>
      </c>
      <c r="B17" s="7" t="s">
        <v>226</v>
      </c>
      <c r="C17" s="7" t="s">
        <v>192</v>
      </c>
      <c r="D17" s="7" t="s">
        <v>338</v>
      </c>
      <c r="E17" s="7" t="s">
        <v>244</v>
      </c>
    </row>
    <row r="18" spans="1:5" x14ac:dyDescent="0.3">
      <c r="A18" s="7" t="s">
        <v>167</v>
      </c>
      <c r="B18" s="7" t="s">
        <v>226</v>
      </c>
      <c r="C18" s="7" t="s">
        <v>192</v>
      </c>
      <c r="D18" s="7" t="s">
        <v>208</v>
      </c>
      <c r="E18" s="7" t="s">
        <v>245</v>
      </c>
    </row>
    <row r="19" spans="1:5" x14ac:dyDescent="0.3">
      <c r="A19" s="7" t="s">
        <v>167</v>
      </c>
      <c r="B19" s="7" t="s">
        <v>226</v>
      </c>
      <c r="C19" s="7" t="s">
        <v>192</v>
      </c>
      <c r="D19" s="7" t="s">
        <v>209</v>
      </c>
      <c r="E19" s="7" t="s">
        <v>246</v>
      </c>
    </row>
    <row r="20" spans="1:5" x14ac:dyDescent="0.3">
      <c r="A20" s="7" t="s">
        <v>167</v>
      </c>
      <c r="B20" s="7" t="s">
        <v>226</v>
      </c>
      <c r="C20" s="7" t="s">
        <v>192</v>
      </c>
      <c r="D20" s="7" t="s">
        <v>210</v>
      </c>
      <c r="E20" s="7" t="s">
        <v>247</v>
      </c>
    </row>
    <row r="21" spans="1:5" x14ac:dyDescent="0.3">
      <c r="A21" s="7" t="s">
        <v>167</v>
      </c>
      <c r="B21" s="7" t="s">
        <v>226</v>
      </c>
      <c r="C21" s="7" t="s">
        <v>192</v>
      </c>
      <c r="D21" s="9" t="s">
        <v>303</v>
      </c>
      <c r="E21" s="9" t="s">
        <v>301</v>
      </c>
    </row>
    <row r="22" spans="1:5" x14ac:dyDescent="0.3">
      <c r="A22" s="7" t="s">
        <v>167</v>
      </c>
      <c r="B22" s="7" t="s">
        <v>226</v>
      </c>
      <c r="C22" s="7" t="s">
        <v>192</v>
      </c>
      <c r="D22" s="9" t="s">
        <v>304</v>
      </c>
      <c r="E22" s="9" t="s">
        <v>302</v>
      </c>
    </row>
    <row r="23" spans="1:5" x14ac:dyDescent="0.3">
      <c r="A23" s="7" t="s">
        <v>167</v>
      </c>
      <c r="B23" s="7" t="s">
        <v>226</v>
      </c>
      <c r="C23" s="7" t="s">
        <v>193</v>
      </c>
      <c r="D23" s="7" t="s">
        <v>211</v>
      </c>
      <c r="E23" s="7" t="s">
        <v>248</v>
      </c>
    </row>
    <row r="24" spans="1:5" x14ac:dyDescent="0.3">
      <c r="A24" s="7" t="s">
        <v>167</v>
      </c>
      <c r="B24" s="7" t="s">
        <v>226</v>
      </c>
      <c r="C24" s="7" t="s">
        <v>193</v>
      </c>
      <c r="D24" s="7" t="s">
        <v>309</v>
      </c>
      <c r="E24" s="7" t="s">
        <v>249</v>
      </c>
    </row>
    <row r="25" spans="1:5" x14ac:dyDescent="0.3">
      <c r="A25" s="7" t="s">
        <v>167</v>
      </c>
      <c r="B25" s="7" t="s">
        <v>226</v>
      </c>
      <c r="C25" s="7" t="s">
        <v>194</v>
      </c>
      <c r="D25" s="7" t="s">
        <v>212</v>
      </c>
      <c r="E25" s="7" t="s">
        <v>250</v>
      </c>
    </row>
    <row r="26" spans="1:5" x14ac:dyDescent="0.3">
      <c r="A26" s="7" t="s">
        <v>167</v>
      </c>
      <c r="B26" s="7" t="s">
        <v>226</v>
      </c>
      <c r="C26" s="7" t="s">
        <v>194</v>
      </c>
      <c r="D26" s="7" t="s">
        <v>213</v>
      </c>
      <c r="E26" s="7" t="s">
        <v>251</v>
      </c>
    </row>
    <row r="27" spans="1:5" x14ac:dyDescent="0.3">
      <c r="A27" s="7" t="s">
        <v>167</v>
      </c>
      <c r="B27" s="7" t="s">
        <v>226</v>
      </c>
      <c r="C27" s="7" t="s">
        <v>194</v>
      </c>
      <c r="D27" s="7" t="s">
        <v>308</v>
      </c>
      <c r="E27" s="7" t="s">
        <v>252</v>
      </c>
    </row>
    <row r="28" spans="1:5" x14ac:dyDescent="0.3">
      <c r="A28" s="7" t="s">
        <v>167</v>
      </c>
      <c r="B28" s="7" t="s">
        <v>226</v>
      </c>
      <c r="C28" s="7" t="s">
        <v>194</v>
      </c>
      <c r="D28" s="7" t="s">
        <v>214</v>
      </c>
      <c r="E28" s="7" t="s">
        <v>253</v>
      </c>
    </row>
    <row r="29" spans="1:5" x14ac:dyDescent="0.3">
      <c r="A29" s="7" t="s">
        <v>167</v>
      </c>
      <c r="B29" s="7" t="s">
        <v>226</v>
      </c>
      <c r="C29" s="7" t="s">
        <v>194</v>
      </c>
      <c r="D29" s="7" t="s">
        <v>215</v>
      </c>
      <c r="E29" s="7" t="s">
        <v>254</v>
      </c>
    </row>
    <row r="30" spans="1:5" x14ac:dyDescent="0.3">
      <c r="A30" s="7" t="s">
        <v>167</v>
      </c>
      <c r="B30" s="7" t="s">
        <v>226</v>
      </c>
      <c r="C30" s="7" t="s">
        <v>194</v>
      </c>
      <c r="D30" s="7" t="s">
        <v>310</v>
      </c>
      <c r="E30" s="7" t="s">
        <v>255</v>
      </c>
    </row>
    <row r="31" spans="1:5" x14ac:dyDescent="0.3">
      <c r="A31" s="7" t="s">
        <v>167</v>
      </c>
      <c r="B31" s="7" t="s">
        <v>226</v>
      </c>
      <c r="C31" s="7" t="s">
        <v>194</v>
      </c>
      <c r="D31" s="8" t="s">
        <v>298</v>
      </c>
      <c r="E31" s="7" t="s">
        <v>256</v>
      </c>
    </row>
    <row r="32" spans="1:5" x14ac:dyDescent="0.3">
      <c r="A32" s="7" t="s">
        <v>167</v>
      </c>
      <c r="B32" s="7" t="s">
        <v>226</v>
      </c>
      <c r="C32" s="7" t="s">
        <v>194</v>
      </c>
      <c r="D32" s="8" t="s">
        <v>299</v>
      </c>
      <c r="E32" s="7" t="s">
        <v>257</v>
      </c>
    </row>
    <row r="33" spans="1:5" x14ac:dyDescent="0.3">
      <c r="A33" s="7" t="s">
        <v>167</v>
      </c>
      <c r="B33" s="7" t="s">
        <v>226</v>
      </c>
      <c r="C33" s="7" t="s">
        <v>194</v>
      </c>
      <c r="D33" s="7" t="s">
        <v>217</v>
      </c>
      <c r="E33" s="7" t="s">
        <v>258</v>
      </c>
    </row>
    <row r="34" spans="1:5" x14ac:dyDescent="0.3">
      <c r="A34" s="7" t="s">
        <v>167</v>
      </c>
      <c r="B34" s="7" t="s">
        <v>226</v>
      </c>
      <c r="C34" s="7" t="s">
        <v>194</v>
      </c>
      <c r="D34" s="8" t="s">
        <v>300</v>
      </c>
      <c r="E34" s="7" t="s">
        <v>259</v>
      </c>
    </row>
    <row r="35" spans="1:5" x14ac:dyDescent="0.3">
      <c r="A35" s="7" t="s">
        <v>167</v>
      </c>
      <c r="B35" s="7" t="s">
        <v>226</v>
      </c>
      <c r="C35" s="7" t="s">
        <v>194</v>
      </c>
      <c r="D35" s="7" t="s">
        <v>218</v>
      </c>
      <c r="E35" s="7" t="s">
        <v>260</v>
      </c>
    </row>
    <row r="36" spans="1:5" x14ac:dyDescent="0.3">
      <c r="A36" s="7" t="s">
        <v>167</v>
      </c>
      <c r="B36" s="7" t="s">
        <v>226</v>
      </c>
      <c r="C36" s="7" t="s">
        <v>194</v>
      </c>
      <c r="D36" s="7" t="s">
        <v>219</v>
      </c>
      <c r="E36" s="7" t="s">
        <v>261</v>
      </c>
    </row>
    <row r="37" spans="1:5" x14ac:dyDescent="0.3">
      <c r="A37" s="7" t="s">
        <v>167</v>
      </c>
      <c r="B37" s="7" t="s">
        <v>226</v>
      </c>
      <c r="C37" s="7" t="s">
        <v>194</v>
      </c>
      <c r="D37" s="7" t="s">
        <v>220</v>
      </c>
      <c r="E37" s="7" t="s">
        <v>262</v>
      </c>
    </row>
    <row r="38" spans="1:5" x14ac:dyDescent="0.3">
      <c r="A38" s="7" t="s">
        <v>167</v>
      </c>
      <c r="B38" s="7" t="s">
        <v>226</v>
      </c>
      <c r="C38" s="7" t="s">
        <v>194</v>
      </c>
      <c r="D38" s="7" t="s">
        <v>221</v>
      </c>
      <c r="E38" s="8" t="s">
        <v>295</v>
      </c>
    </row>
    <row r="39" spans="1:5" x14ac:dyDescent="0.3">
      <c r="A39" s="7" t="s">
        <v>167</v>
      </c>
      <c r="B39" s="7" t="s">
        <v>226</v>
      </c>
      <c r="C39" s="7" t="s">
        <v>194</v>
      </c>
      <c r="D39" s="7" t="s">
        <v>222</v>
      </c>
      <c r="E39" s="8" t="s">
        <v>296</v>
      </c>
    </row>
    <row r="40" spans="1:5" x14ac:dyDescent="0.3">
      <c r="A40" s="7" t="s">
        <v>167</v>
      </c>
      <c r="B40" s="7" t="s">
        <v>226</v>
      </c>
      <c r="C40" s="7" t="s">
        <v>194</v>
      </c>
      <c r="D40" s="7" t="s">
        <v>223</v>
      </c>
      <c r="E40" s="8" t="s">
        <v>297</v>
      </c>
    </row>
    <row r="41" spans="1:5" x14ac:dyDescent="0.3">
      <c r="A41" s="7" t="s">
        <v>175</v>
      </c>
      <c r="B41" s="7" t="s">
        <v>184</v>
      </c>
      <c r="C41" s="7" t="s">
        <v>185</v>
      </c>
      <c r="D41" s="7" t="s">
        <v>311</v>
      </c>
      <c r="E41" s="7" t="s">
        <v>263</v>
      </c>
    </row>
    <row r="42" spans="1:5" x14ac:dyDescent="0.3">
      <c r="A42" s="7" t="s">
        <v>175</v>
      </c>
      <c r="B42" s="7" t="s">
        <v>184</v>
      </c>
      <c r="C42" s="7" t="s">
        <v>185</v>
      </c>
      <c r="D42" s="7" t="s">
        <v>312</v>
      </c>
      <c r="E42" s="7" t="s">
        <v>264</v>
      </c>
    </row>
    <row r="43" spans="1:5" x14ac:dyDescent="0.3">
      <c r="A43" s="7" t="s">
        <v>175</v>
      </c>
      <c r="B43" s="7" t="s">
        <v>184</v>
      </c>
      <c r="C43" s="7" t="s">
        <v>185</v>
      </c>
      <c r="D43" s="7" t="s">
        <v>313</v>
      </c>
      <c r="E43" s="7" t="s">
        <v>265</v>
      </c>
    </row>
    <row r="44" spans="1:5" x14ac:dyDescent="0.3">
      <c r="A44" s="7" t="s">
        <v>175</v>
      </c>
      <c r="B44" s="7" t="s">
        <v>184</v>
      </c>
      <c r="C44" s="7" t="s">
        <v>185</v>
      </c>
      <c r="D44" s="7" t="s">
        <v>314</v>
      </c>
      <c r="E44" s="7" t="s">
        <v>266</v>
      </c>
    </row>
    <row r="45" spans="1:5" x14ac:dyDescent="0.3">
      <c r="A45" s="7" t="s">
        <v>175</v>
      </c>
      <c r="B45" s="7" t="s">
        <v>184</v>
      </c>
      <c r="C45" s="7" t="s">
        <v>185</v>
      </c>
      <c r="D45" s="7" t="s">
        <v>315</v>
      </c>
      <c r="E45" s="7" t="s">
        <v>267</v>
      </c>
    </row>
    <row r="46" spans="1:5" x14ac:dyDescent="0.3">
      <c r="A46" s="7" t="s">
        <v>175</v>
      </c>
      <c r="B46" s="7" t="s">
        <v>184</v>
      </c>
      <c r="C46" s="7" t="s">
        <v>185</v>
      </c>
      <c r="D46" s="7" t="s">
        <v>316</v>
      </c>
      <c r="E46" s="7" t="s">
        <v>268</v>
      </c>
    </row>
    <row r="47" spans="1:5" x14ac:dyDescent="0.3">
      <c r="A47" s="7" t="s">
        <v>175</v>
      </c>
      <c r="B47" s="7" t="s">
        <v>184</v>
      </c>
      <c r="C47" s="7" t="s">
        <v>185</v>
      </c>
      <c r="D47" s="7" t="s">
        <v>317</v>
      </c>
      <c r="E47" s="7" t="s">
        <v>269</v>
      </c>
    </row>
    <row r="48" spans="1:5" x14ac:dyDescent="0.3">
      <c r="A48" s="7" t="s">
        <v>175</v>
      </c>
      <c r="B48" s="7" t="s">
        <v>184</v>
      </c>
      <c r="C48" s="7" t="s">
        <v>185</v>
      </c>
      <c r="D48" s="7" t="s">
        <v>318</v>
      </c>
      <c r="E48" s="7" t="s">
        <v>270</v>
      </c>
    </row>
    <row r="49" spans="1:5" x14ac:dyDescent="0.3">
      <c r="A49" s="7" t="s">
        <v>175</v>
      </c>
      <c r="B49" s="7" t="s">
        <v>184</v>
      </c>
      <c r="C49" s="7" t="s">
        <v>185</v>
      </c>
      <c r="D49" s="7" t="s">
        <v>319</v>
      </c>
      <c r="E49" s="7" t="s">
        <v>271</v>
      </c>
    </row>
    <row r="50" spans="1:5" x14ac:dyDescent="0.3">
      <c r="A50" s="7" t="s">
        <v>175</v>
      </c>
      <c r="B50" s="7" t="s">
        <v>184</v>
      </c>
      <c r="C50" s="7" t="s">
        <v>185</v>
      </c>
      <c r="D50" s="7" t="s">
        <v>320</v>
      </c>
      <c r="E50" s="7" t="s">
        <v>272</v>
      </c>
    </row>
    <row r="51" spans="1:5" x14ac:dyDescent="0.3">
      <c r="A51" s="7" t="s">
        <v>175</v>
      </c>
      <c r="B51" s="7" t="s">
        <v>184</v>
      </c>
      <c r="C51" s="7" t="s">
        <v>185</v>
      </c>
      <c r="D51" s="7" t="s">
        <v>321</v>
      </c>
      <c r="E51" s="7" t="s">
        <v>273</v>
      </c>
    </row>
    <row r="52" spans="1:5" x14ac:dyDescent="0.3">
      <c r="A52" s="7" t="s">
        <v>175</v>
      </c>
      <c r="B52" s="7" t="s">
        <v>184</v>
      </c>
      <c r="C52" s="7" t="s">
        <v>185</v>
      </c>
      <c r="D52" s="7" t="s">
        <v>322</v>
      </c>
      <c r="E52" s="7" t="s">
        <v>274</v>
      </c>
    </row>
    <row r="53" spans="1:5" x14ac:dyDescent="0.3">
      <c r="A53" s="7" t="s">
        <v>175</v>
      </c>
      <c r="B53" s="7" t="s">
        <v>184</v>
      </c>
      <c r="C53" s="7" t="s">
        <v>188</v>
      </c>
      <c r="D53" s="7" t="s">
        <v>323</v>
      </c>
      <c r="E53" s="7" t="s">
        <v>275</v>
      </c>
    </row>
    <row r="54" spans="1:5" x14ac:dyDescent="0.3">
      <c r="A54" s="7" t="s">
        <v>175</v>
      </c>
      <c r="B54" s="7" t="s">
        <v>184</v>
      </c>
      <c r="C54" s="7" t="s">
        <v>188</v>
      </c>
      <c r="D54" s="7" t="s">
        <v>324</v>
      </c>
      <c r="E54" s="7" t="s">
        <v>276</v>
      </c>
    </row>
    <row r="55" spans="1:5" x14ac:dyDescent="0.3">
      <c r="A55" s="7" t="s">
        <v>175</v>
      </c>
      <c r="B55" s="7" t="s">
        <v>184</v>
      </c>
      <c r="C55" s="7" t="s">
        <v>188</v>
      </c>
      <c r="D55" s="7" t="s">
        <v>325</v>
      </c>
      <c r="E55" s="7" t="s">
        <v>277</v>
      </c>
    </row>
    <row r="56" spans="1:5" x14ac:dyDescent="0.3">
      <c r="A56" s="7" t="s">
        <v>175</v>
      </c>
      <c r="B56" s="7" t="s">
        <v>184</v>
      </c>
      <c r="C56" s="7" t="s">
        <v>188</v>
      </c>
      <c r="D56" s="7" t="s">
        <v>326</v>
      </c>
      <c r="E56" s="7" t="s">
        <v>278</v>
      </c>
    </row>
    <row r="57" spans="1:5" x14ac:dyDescent="0.3">
      <c r="A57" s="7" t="s">
        <v>175</v>
      </c>
      <c r="B57" s="7" t="s">
        <v>184</v>
      </c>
      <c r="C57" s="7" t="s">
        <v>188</v>
      </c>
      <c r="D57" s="7" t="s">
        <v>327</v>
      </c>
      <c r="E57" s="7" t="s">
        <v>279</v>
      </c>
    </row>
    <row r="58" spans="1:5" x14ac:dyDescent="0.3">
      <c r="A58" s="7" t="s">
        <v>175</v>
      </c>
      <c r="B58" s="7" t="s">
        <v>184</v>
      </c>
      <c r="C58" s="7" t="s">
        <v>188</v>
      </c>
      <c r="D58" s="7" t="s">
        <v>328</v>
      </c>
      <c r="E58" s="7" t="s">
        <v>280</v>
      </c>
    </row>
    <row r="59" spans="1:5" x14ac:dyDescent="0.3">
      <c r="A59" s="7" t="s">
        <v>175</v>
      </c>
      <c r="B59" s="7" t="s">
        <v>184</v>
      </c>
      <c r="C59" s="7" t="s">
        <v>188</v>
      </c>
      <c r="D59" s="7" t="s">
        <v>333</v>
      </c>
      <c r="E59" s="7" t="s">
        <v>281</v>
      </c>
    </row>
    <row r="60" spans="1:5" x14ac:dyDescent="0.3">
      <c r="A60" s="7" t="s">
        <v>175</v>
      </c>
      <c r="B60" s="7" t="s">
        <v>184</v>
      </c>
      <c r="C60" s="7" t="s">
        <v>188</v>
      </c>
      <c r="D60" s="7" t="s">
        <v>330</v>
      </c>
      <c r="E60" s="7" t="s">
        <v>282</v>
      </c>
    </row>
    <row r="61" spans="1:5" x14ac:dyDescent="0.3">
      <c r="A61" s="7" t="s">
        <v>167</v>
      </c>
      <c r="B61" s="7" t="s">
        <v>224</v>
      </c>
      <c r="C61" s="7" t="s">
        <v>94</v>
      </c>
      <c r="D61" s="7" t="str">
        <f>"Índice de "&amp;LOWER(C61)</f>
        <v>Índice de calidad de las respuestas (pqrsd)</v>
      </c>
      <c r="E61" s="7" t="s">
        <v>50</v>
      </c>
    </row>
    <row r="62" spans="1:5" x14ac:dyDescent="0.3">
      <c r="A62" s="7" t="s">
        <v>167</v>
      </c>
      <c r="B62" s="7" t="s">
        <v>225</v>
      </c>
      <c r="C62" s="7" t="s">
        <v>189</v>
      </c>
      <c r="D62" s="7" t="str">
        <f t="shared" ref="D62:D67" si="0">"Índice de "&amp;LOWER(C62)</f>
        <v>Índice de digitalización y automatización de trámites</v>
      </c>
      <c r="E62" s="7" t="s">
        <v>285</v>
      </c>
    </row>
    <row r="63" spans="1:5" x14ac:dyDescent="0.3">
      <c r="A63" s="7" t="s">
        <v>167</v>
      </c>
      <c r="B63" s="7" t="s">
        <v>225</v>
      </c>
      <c r="C63" s="7" t="s">
        <v>190</v>
      </c>
      <c r="D63" s="7" t="str">
        <f t="shared" si="0"/>
        <v>Índice de ahorros en los requisitos y tiempos</v>
      </c>
      <c r="E63" s="7" t="s">
        <v>286</v>
      </c>
    </row>
    <row r="64" spans="1:5" x14ac:dyDescent="0.3">
      <c r="A64" s="7" t="s">
        <v>167</v>
      </c>
      <c r="B64" s="7" t="s">
        <v>225</v>
      </c>
      <c r="C64" s="12" t="s">
        <v>332</v>
      </c>
      <c r="D64" s="7" t="str">
        <f t="shared" si="0"/>
        <v>Índice de articulación digital del servicio</v>
      </c>
      <c r="E64" s="13" t="s">
        <v>339</v>
      </c>
    </row>
    <row r="65" spans="1:5" x14ac:dyDescent="0.3">
      <c r="A65" s="7" t="s">
        <v>167</v>
      </c>
      <c r="B65" s="7" t="s">
        <v>226</v>
      </c>
      <c r="C65" s="7" t="s">
        <v>192</v>
      </c>
      <c r="D65" s="7" t="str">
        <f t="shared" si="0"/>
        <v>Índice de evaluación de capacidad instalada</v>
      </c>
      <c r="E65" s="7" t="s">
        <v>288</v>
      </c>
    </row>
    <row r="66" spans="1:5" x14ac:dyDescent="0.3">
      <c r="A66" s="7" t="s">
        <v>167</v>
      </c>
      <c r="B66" s="7" t="s">
        <v>226</v>
      </c>
      <c r="C66" s="7" t="s">
        <v>193</v>
      </c>
      <c r="D66" s="7" t="str">
        <f t="shared" si="0"/>
        <v>Índice de evaluación de habilidades</v>
      </c>
      <c r="E66" s="7" t="s">
        <v>289</v>
      </c>
    </row>
    <row r="67" spans="1:5" x14ac:dyDescent="0.3">
      <c r="A67" s="7" t="s">
        <v>167</v>
      </c>
      <c r="B67" s="7" t="s">
        <v>226</v>
      </c>
      <c r="C67" s="7" t="s">
        <v>194</v>
      </c>
      <c r="D67" s="7" t="str">
        <f t="shared" si="0"/>
        <v>Índice de estándares y protocolos de atención</v>
      </c>
      <c r="E67" s="7" t="s">
        <v>290</v>
      </c>
    </row>
    <row r="68" spans="1:5" x14ac:dyDescent="0.3">
      <c r="A68" s="7" t="s">
        <v>176</v>
      </c>
      <c r="B68" s="7" t="s">
        <v>184</v>
      </c>
      <c r="C68" s="7" t="s">
        <v>185</v>
      </c>
      <c r="D68" s="7" t="s">
        <v>173</v>
      </c>
      <c r="E68" s="7" t="s">
        <v>284</v>
      </c>
    </row>
    <row r="69" spans="1:5" x14ac:dyDescent="0.3">
      <c r="A69" s="7" t="s">
        <v>176</v>
      </c>
      <c r="B69" s="7" t="s">
        <v>184</v>
      </c>
      <c r="C69" s="7" t="s">
        <v>188</v>
      </c>
      <c r="D69" s="7" t="s">
        <v>174</v>
      </c>
      <c r="E69" s="7" t="s">
        <v>283</v>
      </c>
    </row>
    <row r="70" spans="1:5" x14ac:dyDescent="0.3">
      <c r="A70" s="7" t="s">
        <v>167</v>
      </c>
      <c r="B70" s="7" t="s">
        <v>224</v>
      </c>
      <c r="C70" s="7" t="s">
        <v>147</v>
      </c>
      <c r="D70" s="7" t="s">
        <v>291</v>
      </c>
      <c r="E70" s="7" t="s">
        <v>53</v>
      </c>
    </row>
    <row r="71" spans="1:5" x14ac:dyDescent="0.3">
      <c r="A71" s="7" t="s">
        <v>167</v>
      </c>
      <c r="B71" s="7" t="s">
        <v>225</v>
      </c>
      <c r="C71" s="7" t="s">
        <v>147</v>
      </c>
      <c r="D71" s="7" t="s">
        <v>164</v>
      </c>
      <c r="E71" s="7" t="s">
        <v>55</v>
      </c>
    </row>
    <row r="72" spans="1:5" x14ac:dyDescent="0.3">
      <c r="A72" s="7" t="s">
        <v>167</v>
      </c>
      <c r="B72" s="7" t="s">
        <v>226</v>
      </c>
      <c r="C72" s="7" t="s">
        <v>147</v>
      </c>
      <c r="D72" s="7" t="s">
        <v>227</v>
      </c>
      <c r="E72" s="7" t="s">
        <v>59</v>
      </c>
    </row>
    <row r="73" spans="1:5" x14ac:dyDescent="0.3">
      <c r="A73" s="7" t="s">
        <v>176</v>
      </c>
      <c r="B73" s="7" t="s">
        <v>147</v>
      </c>
      <c r="C73" s="7" t="s">
        <v>147</v>
      </c>
      <c r="D73" s="7" t="s">
        <v>176</v>
      </c>
      <c r="E73" s="7" t="s">
        <v>64</v>
      </c>
    </row>
    <row r="74" spans="1:5" x14ac:dyDescent="0.3">
      <c r="A74" s="7" t="s">
        <v>167</v>
      </c>
      <c r="B74" s="7" t="s">
        <v>147</v>
      </c>
      <c r="C74" s="7" t="s">
        <v>147</v>
      </c>
      <c r="D74" s="7" t="s">
        <v>167</v>
      </c>
      <c r="E74" s="7" t="s">
        <v>63</v>
      </c>
    </row>
  </sheetData>
  <conditionalFormatting sqref="D1">
    <cfRule type="duplicateValues" dxfId="1" priority="2"/>
  </conditionalFormatting>
  <conditionalFormatting sqref="D2:D7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V1</vt:lpstr>
      <vt:lpstr>V2</vt:lpstr>
      <vt:lpstr>V3</vt:lpstr>
      <vt:lpstr>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nico1394</dc:creator>
  <cp:lastModifiedBy>Nicolás Rincón Sánchez</cp:lastModifiedBy>
  <dcterms:created xsi:type="dcterms:W3CDTF">2025-10-03T12:49:43Z</dcterms:created>
  <dcterms:modified xsi:type="dcterms:W3CDTF">2025-12-21T01:37:37Z</dcterms:modified>
</cp:coreProperties>
</file>