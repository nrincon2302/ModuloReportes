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icol\Desktop\Coding Project\PROYECTAMOS\Alcaldia\CodexDashboard\info\"/>
    </mc:Choice>
  </mc:AlternateContent>
  <xr:revisionPtr revIDLastSave="0" documentId="13_ncr:1_{E2362145-09C2-4C59-9FE7-30BA913A2288}" xr6:coauthVersionLast="47" xr6:coauthVersionMax="47" xr10:uidLastSave="{00000000-0000-0000-0000-000000000000}"/>
  <bookViews>
    <workbookView xWindow="-108" yWindow="-108" windowWidth="23256" windowHeight="13896" xr2:uid="{DCF8A393-9069-F14C-BF43-F0F735D572CC}"/>
  </bookViews>
  <sheets>
    <sheet name="Satisfacción y Experiencia" sheetId="1" r:id="rId1"/>
  </sheets>
  <definedNames>
    <definedName name="_xlnm._FilterDatabase" localSheetId="0" hidden="1">'Satisfacción y Experiencia'!$B$1:$R$21</definedName>
    <definedName name="_ftn1" localSheetId="0">'Satisfacción y Experiencia'!#REF!</definedName>
    <definedName name="_ftn2" localSheetId="0">'Satisfacción y Experiencia'!#REF!</definedName>
    <definedName name="_ftnref1" localSheetId="0">'Satisfacción y Experiencia'!$F$11</definedName>
    <definedName name="_ftnref2" localSheetId="0">'Satisfacción y Experiencia'!#REF!</definedName>
    <definedName name="OLE_LINK1" localSheetId="0">'Satisfacción y Experiencia'!#REF!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3" i="1" l="1"/>
  <c r="U4" i="1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" i="1"/>
  <c r="T21" i="1"/>
  <c r="T20" i="1"/>
  <c r="T19" i="1"/>
  <c r="T18" i="1"/>
  <c r="T17" i="1"/>
  <c r="T16" i="1"/>
  <c r="T15" i="1"/>
  <c r="T14" i="1"/>
  <c r="T13" i="1"/>
  <c r="T12" i="1"/>
  <c r="T11" i="1"/>
  <c r="T10" i="1"/>
  <c r="T9" i="1"/>
  <c r="T8" i="1"/>
  <c r="T7" i="1"/>
  <c r="T6" i="1"/>
  <c r="T5" i="1"/>
  <c r="T4" i="1"/>
  <c r="T3" i="1"/>
  <c r="T2" i="1"/>
</calcChain>
</file>

<file path=xl/sharedStrings.xml><?xml version="1.0" encoding="utf-8"?>
<sst xmlns="http://schemas.openxmlformats.org/spreadsheetml/2006/main" count="371" uniqueCount="162">
  <si>
    <t>Fórmula de cálculo</t>
  </si>
  <si>
    <t>Dimensión</t>
  </si>
  <si>
    <t>Chatico</t>
  </si>
  <si>
    <t>Nivel de satisfacción con la calidad de la llamada</t>
  </si>
  <si>
    <t>Nivel de satisfacción con la calidad de la conexión</t>
  </si>
  <si>
    <t>X</t>
  </si>
  <si>
    <t>Nivel de satisfacción con la pertinencia de la respuesta</t>
  </si>
  <si>
    <t>Encuesta a la ciudadanía</t>
  </si>
  <si>
    <t>Nivel de desagregación</t>
  </si>
  <si>
    <t>Nivel de satisfacción con el acceso al punto físico</t>
  </si>
  <si>
    <t>Nivel de satisfacción con el personal que atendió</t>
  </si>
  <si>
    <t>1. Distrito
2. Sector
3. Entidad
4. Canal
5. Subcanal</t>
  </si>
  <si>
    <t>Experiencia en los canales de atención</t>
  </si>
  <si>
    <t>Satisfacción con el servicio recibido</t>
  </si>
  <si>
    <t>Pilar</t>
  </si>
  <si>
    <t>Percepción ciudadana sobre el servicio</t>
  </si>
  <si>
    <t>Presencial</t>
  </si>
  <si>
    <t>Chat</t>
  </si>
  <si>
    <t>Portales Web</t>
  </si>
  <si>
    <t>Bogotá te Escucha</t>
  </si>
  <si>
    <t>Canal Telefónico</t>
  </si>
  <si>
    <t>Nivel de satisfacción con el acceso al chat</t>
  </si>
  <si>
    <t>Nivel de satisfacción con el acceso al portal web</t>
  </si>
  <si>
    <t>Nivel de satisfacción con la facilidad de interacción con el portal web</t>
  </si>
  <si>
    <t>Nivel de satisfacción con el acceso a la llamada telefónica</t>
  </si>
  <si>
    <t>Nivel de satisfacción con el tiempo de espera</t>
  </si>
  <si>
    <t>Nivel de satisfacción con el lenguaje claro del menú de opciones</t>
  </si>
  <si>
    <t>% de personas que recomiendan el canal</t>
  </si>
  <si>
    <t>% de trámites resueltos</t>
  </si>
  <si>
    <t>Nivel de satisfacción con la claridad del lenguaje en el trámite</t>
  </si>
  <si>
    <t>Nivel de satisfacción con la facilidad de acceder al trámite</t>
  </si>
  <si>
    <t>Nivel de satisfacción con el tiempo en la atención</t>
  </si>
  <si>
    <t>% de ciudadanos que reiteran solicitudes</t>
  </si>
  <si>
    <t>Objetivo</t>
  </si>
  <si>
    <t>Unidad de medida</t>
  </si>
  <si>
    <t>Fuente de Información</t>
  </si>
  <si>
    <t>Porcentaje</t>
  </si>
  <si>
    <t>Cálculo numerador</t>
  </si>
  <si>
    <t>Cálculo denominador</t>
  </si>
  <si>
    <t>total de encuestas</t>
  </si>
  <si>
    <t>Sumatoria de [(p5.1-1)/(valor máximo de la escala -1)]</t>
  </si>
  <si>
    <t>Sumatoria de [(p5.2-1)/(valor máximo de la escala -1)]</t>
  </si>
  <si>
    <t>Sumatoria de [(p5.3-1)/(valor máximo de la escala -1)]</t>
  </si>
  <si>
    <t>Sumatoria de [(p5.4-1)/(valor máximo de la escala -1)]</t>
  </si>
  <si>
    <t>Sumatoria de [(p5.5-1)/(valor máximo de la escala -1)]</t>
  </si>
  <si>
    <t>Sumatoria de [(p5.6-1)/(valor máximo de la escala -1)]</t>
  </si>
  <si>
    <t>Sumatoria de [(p5.7-1)/(valor máximo de la escala -1)]</t>
  </si>
  <si>
    <t>Nivel satisfacción general con el espacio físico</t>
  </si>
  <si>
    <t>Sumatoria de [(p5.8-1)/(valor máximo de la escala -1)]</t>
  </si>
  <si>
    <t>Sumatoria de [(p5.9-1)/(valor máximo de la escala -1)]</t>
  </si>
  <si>
    <t>Sumatoria de [(p5.10-1)/(valor máximo de la escala -1)]</t>
  </si>
  <si>
    <t>Sumatoria de [(p5.11-1)/(valor máximo de la escala -1)]</t>
  </si>
  <si>
    <t>Total de p8=1</t>
  </si>
  <si>
    <t>(Total de personas que recomendarían el canal / total de encuestas) x 100</t>
  </si>
  <si>
    <t>Total de p6=1</t>
  </si>
  <si>
    <t>(Total de personas que reportan que el trámite fue resuelto / total de encuestas) x 100</t>
  </si>
  <si>
    <t>Sumatoria de [(p7.1-1)/(valor máximo de la escala -1)]</t>
  </si>
  <si>
    <t>Sumatoria de [(p7.2-1)/(valor máximo de la escala -1)]</t>
  </si>
  <si>
    <t>Sumatoria de [(p7.3-1)/(valor máximo de la escala -1)]</t>
  </si>
  <si>
    <t>Sumatoria de [(p7.4-1)/(valor máximo de la escala -1)]</t>
  </si>
  <si>
    <t>Sumatoria de [(p7.5-1)/(valor máximo de la escala -1)]</t>
  </si>
  <si>
    <t>Sumatoria de [(p7.6-1)/(valor máximo de la escala -1)]</t>
  </si>
  <si>
    <t>Nivel de satisfacción con las notificaciones del sistema</t>
  </si>
  <si>
    <t>Total de p9=1</t>
  </si>
  <si>
    <t>(Total de personas que radicaron una PQRSD para el trámite / total de encuestas) x 100</t>
  </si>
  <si>
    <t>Periodicidad de reporte</t>
  </si>
  <si>
    <t>Mensual</t>
  </si>
  <si>
    <t>Medir el nivel de satisfacción con el acceso al punto físico</t>
  </si>
  <si>
    <t>Medir el nivel de satisfacción con el acceso al chat</t>
  </si>
  <si>
    <t>Medir el nivel de satisfacción con el acceso al portal web</t>
  </si>
  <si>
    <t>Medir el nivel de satisfacción con la facilidad de interacción con el portal web</t>
  </si>
  <si>
    <t>Medir el nivel de satisfacción con el acceso a la llamada telefónica</t>
  </si>
  <si>
    <t>Medir el nivel de satisfacción con el tiempo de espera</t>
  </si>
  <si>
    <t>Medir el nivel satisfacción general con el espacio físico</t>
  </si>
  <si>
    <t>Medir el nivel de satisfacción con la calidad de la llamada</t>
  </si>
  <si>
    <t>Medir el nivel de satisfacción con la calidad de la conexión</t>
  </si>
  <si>
    <t>Medir el nivel de satisfacción con el lenguaje claro del menú de opciones</t>
  </si>
  <si>
    <t>Medir el nivel de satisfacción con el personal que atendió</t>
  </si>
  <si>
    <t>Medir el nivel de satisfacción con la claridad del lenguaje en el trámite</t>
  </si>
  <si>
    <t>Medir el nivel de satisfacción con la facilidad de acceder al trámite</t>
  </si>
  <si>
    <t>Medir el nivel de satisfacción con la pertinencia de la respuesta</t>
  </si>
  <si>
    <t>Medir el nivel de satisfacción con el tiempo en la atención</t>
  </si>
  <si>
    <t>Medir el nivel de satisfacción con las notificaciones del sistema</t>
  </si>
  <si>
    <t>Medir el porcentaje de personas que recomiendan el canal</t>
  </si>
  <si>
    <t>Medir el porcentaje de trámites resueltos</t>
  </si>
  <si>
    <t>Medir el porcentaje de ciudadanos que reiteran solicitudes</t>
  </si>
  <si>
    <t>Nombre Indicador</t>
  </si>
  <si>
    <t>(Sumatoria ((calificación de la satisfacción con el acceso al punto - 1) / (valor máximo de la escala - 1)) / total de encuestas) x 100</t>
  </si>
  <si>
    <t>(Sumatoria ((calificación de la satisfacción con el acceso al chat - 1) / (valor máximo de la escala - 1)) / total de encuestas) x 100a escala - 1)</t>
  </si>
  <si>
    <t>(Sumatoria ((calificación de la satisfacción con el acceso al portal web - 1) / (valor máximo de la escala - 1)) / total de encuestas) x 100scala - 1)</t>
  </si>
  <si>
    <t>(Sumatoria ((calificación de la facilidad de interacción con el portal web - 1) / (valor máximo de la escala - 1)) / total de encuestas) x 100</t>
  </si>
  <si>
    <t>(Sumatoria ((calificación del acceso a la llamada telefónica - 1) / (valor máximo de la escala - 1)) / total de encuestas) x 100</t>
  </si>
  <si>
    <t>(Sumatoria ((calificación del tiempo de espera para ser atendido - 1) / (valor máximo de la escala - 1)) / total de encuestas) x 100</t>
  </si>
  <si>
    <t>(Sumatoria ((calificación del nivel de satisfacción general con el espacio físico - 1) / (valor máximo de la escala - 1)) / total de encuestas) x 100</t>
  </si>
  <si>
    <t>(Sumatoria ((calificación de la calidad de la llamada - 1) / (valor máximo de la escala - 1)) / total de encuestas) x 100</t>
  </si>
  <si>
    <t>(Sumatoria ((calificación de la calidad de la conexión - 1) / (valor máximo de la escala - 1)) / total de encuestas) x 100</t>
  </si>
  <si>
    <t>(Sumatoria ((calificación del lenguaje claro del menú de opciones- 1) / (valor máximo de la escala - 1)) / total de encuestas) x 100</t>
  </si>
  <si>
    <t>(Sumatoria ((calificación del nivel de satisfacción general con el personal que lo atendió - 1) / (valor máximo de la escala - 1)) / total de encuestas) x 100</t>
  </si>
  <si>
    <t>(Sumatoria ((calificación del nivel de satisfacción con la claridad del lenguaje en el trámite - 1) / (valor máximo de la escala - 1)) / total de encuestas) x 100</t>
  </si>
  <si>
    <t>(Sumatoria ((calificación del nivel de satisfacción general con la facilidad de acceder al trámite - 1) / (valor máximo de la escala - 1)) / total de encuestas) x 100</t>
  </si>
  <si>
    <t>(Sumatoria ((calificación del nivel de satisfacción con la pertinencia de la respuesta - 1) / (valor máximo de la escala - 1)) / total de encuestas) x 100</t>
  </si>
  <si>
    <t>(Sumatoria ((calificación del nivel de satisfacción general con el tiempo de atención - 1) / (valor máximo de la escala - 1)) / total de encuestas) x 100</t>
  </si>
  <si>
    <t>(Sumatoria ((calificación del nivel de satisfacción general con las notificaciones del sistema - 1) / (valor máximo de la escala - 1)) / total de encuestas) x 100</t>
  </si>
  <si>
    <t>(Sumatoria ((calificación del nivel de satisfacción general con la disponibilidad de instructivos y tutoriales disponibles - 1) / (valor máximo de la escala - 1)) / total de encuestas) x 100</t>
  </si>
  <si>
    <t>Nivel de satisfacción con la disponibilidad de instructivos y tutoriales</t>
  </si>
  <si>
    <t>Medir el nivel de satisfacción con la disponibilidad de instructivos y tutoriales</t>
  </si>
  <si>
    <t>Id_Indicador</t>
  </si>
  <si>
    <t>c2_p4_d8_01</t>
  </si>
  <si>
    <t>c2_p4_d8_02</t>
  </si>
  <si>
    <t>c2_p4_d8_03</t>
  </si>
  <si>
    <t>c2_p4_d8_04</t>
  </si>
  <si>
    <t>c2_p4_d8_05</t>
  </si>
  <si>
    <t>c2_p4_d8_06</t>
  </si>
  <si>
    <t>c2_p4_d8_07</t>
  </si>
  <si>
    <t>c2_p4_d8_08</t>
  </si>
  <si>
    <t>c2_p4_d8_09</t>
  </si>
  <si>
    <t>c2_p4_d8_10</t>
  </si>
  <si>
    <t>c2_p4_d8_11</t>
  </si>
  <si>
    <t>c2_p4_d8_12</t>
  </si>
  <si>
    <t>c2_p4_d9_01</t>
  </si>
  <si>
    <t>c2_p4_d9_02</t>
  </si>
  <si>
    <t>c2_p4_d9_03</t>
  </si>
  <si>
    <t>c2_p4_d9_04</t>
  </si>
  <si>
    <t>c2_p4_d9_05</t>
  </si>
  <si>
    <t>c2_p4_d9_06</t>
  </si>
  <si>
    <t>c2_p4_d9_07</t>
  </si>
  <si>
    <t>c2_p4_d9_08</t>
  </si>
  <si>
    <t>Frase general</t>
  </si>
  <si>
    <t>Criterios</t>
  </si>
  <si>
    <t>Cálculo</t>
  </si>
  <si>
    <t>Herramienta de Apoyo</t>
  </si>
  <si>
    <t>Se ha identificado un desafío crítico relacionado con la</t>
  </si>
  <si>
    <t>Aplica si el promedio de p5.1 es menor estricto a 3</t>
  </si>
  <si>
    <r>
      <t>Remítase al Manual de Servicio a la Ciudadanía del Distrito Capítal en el numeral 2 "</t>
    </r>
    <r>
      <rPr>
        <i/>
        <sz val="12"/>
        <color rgb="FF000000"/>
        <rFont val="Arial"/>
        <family val="2"/>
      </rPr>
      <t>Aspectos relevantes para la atención ciudadana</t>
    </r>
    <r>
      <rPr>
        <sz val="12"/>
        <color rgb="FF000000"/>
        <rFont val="Arial"/>
        <family val="2"/>
      </rPr>
      <t>", sección 2.1.1 "</t>
    </r>
    <r>
      <rPr>
        <i/>
        <sz val="12"/>
        <color rgb="FF000000"/>
        <rFont val="Arial"/>
        <family val="2"/>
      </rPr>
      <t>Accesibilidad en espacios físicos</t>
    </r>
    <r>
      <rPr>
        <sz val="12"/>
        <color rgb="FF000000"/>
        <rFont val="Arial"/>
        <family val="2"/>
      </rPr>
      <t>" https://secretariageneral.gov.co/node/285 o a la NTC 6047 numeral 4.1.1. "</t>
    </r>
    <r>
      <rPr>
        <i/>
        <sz val="12"/>
        <color rgb="FF000000"/>
        <rFont val="Arial"/>
        <family val="2"/>
      </rPr>
      <t>ingreso</t>
    </r>
    <r>
      <rPr>
        <sz val="12"/>
        <color rgb="FF000000"/>
        <rFont val="Arial"/>
        <family val="2"/>
      </rPr>
      <t>" y 4.1.2. "</t>
    </r>
    <r>
      <rPr>
        <i/>
        <sz val="12"/>
        <color rgb="FF000000"/>
        <rFont val="Arial"/>
        <family val="2"/>
      </rPr>
      <t>vestíbulo</t>
    </r>
    <r>
      <rPr>
        <sz val="12"/>
        <color rgb="FF000000"/>
        <rFont val="Arial"/>
        <family val="2"/>
      </rPr>
      <t>" https://colaboracion.dnp.gov.co/CDT/Programa%20Nacional%20del%20Servicio%20al%20Ciudadano/NTC6047.pdf</t>
    </r>
  </si>
  <si>
    <t>Aplica si el promedio de p5.2 es menor estricto a 3</t>
  </si>
  <si>
    <r>
      <t>Remítase al Manual de Servicio a la Ciudadanía del Distrito Capítal en el numeral 2 "</t>
    </r>
    <r>
      <rPr>
        <i/>
        <sz val="12"/>
        <color rgb="FF000000"/>
        <rFont val="Arial"/>
        <family val="2"/>
      </rPr>
      <t>Aspectos relevantes para la atención ciudadana</t>
    </r>
    <r>
      <rPr>
        <sz val="12"/>
        <color rgb="FF000000"/>
        <rFont val="Arial"/>
        <family val="2"/>
      </rPr>
      <t>", sección 2.1.2 "</t>
    </r>
    <r>
      <rPr>
        <i/>
        <sz val="12"/>
        <color rgb="FF000000"/>
        <rFont val="Arial"/>
        <family val="2"/>
      </rPr>
      <t>Accesibilidad en medios electrónicos, sitios web y contenidos digitales</t>
    </r>
    <r>
      <rPr>
        <sz val="12"/>
        <color rgb="FF000000"/>
        <rFont val="Arial"/>
        <family val="2"/>
      </rPr>
      <t>" https://secretariageneral.gov.co/node/285</t>
    </r>
  </si>
  <si>
    <t>Aplica si el promedio de p5.3 es menor estricto a 3</t>
  </si>
  <si>
    <t>Aplica si el promedio de p5.4 es menor estricto a 3</t>
  </si>
  <si>
    <t>Aplica si el promedio de p5.5 es menor estricto a 3</t>
  </si>
  <si>
    <r>
      <t>Remítase al Manual de Servicio a la Ciudadanía del Distrito Capítal en el numeral 2 "</t>
    </r>
    <r>
      <rPr>
        <i/>
        <sz val="12"/>
        <color rgb="FF000000"/>
        <rFont val="Arial"/>
        <family val="2"/>
      </rPr>
      <t>Aspectos relevantes para la atención ciudadana</t>
    </r>
    <r>
      <rPr>
        <sz val="12"/>
        <color rgb="FF000000"/>
        <rFont val="Arial"/>
        <family val="2"/>
      </rPr>
      <t>", sección 2.1.3 "</t>
    </r>
    <r>
      <rPr>
        <i/>
        <sz val="12"/>
        <color rgb="FF000000"/>
        <rFont val="Arial"/>
        <family val="2"/>
      </rPr>
      <t>Accesibilidad en canal telefónico</t>
    </r>
    <r>
      <rPr>
        <sz val="12"/>
        <color rgb="FF000000"/>
        <rFont val="Arial"/>
        <family val="2"/>
      </rPr>
      <t>" https://secretariageneral.gov.co/node/285</t>
    </r>
  </si>
  <si>
    <t>Aplica si el promedio de p5.6 es menor estricto a 3</t>
  </si>
  <si>
    <r>
      <t>Remítase al Manual de Servicio a la Ciudadanía del Distrito Capítal, "</t>
    </r>
    <r>
      <rPr>
        <i/>
        <sz val="12"/>
        <color rgb="FF000000"/>
        <rFont val="Arial"/>
        <family val="2"/>
      </rPr>
      <t>Tiempos de espera</t>
    </r>
    <r>
      <rPr>
        <sz val="12"/>
        <color rgb="FF000000"/>
        <rFont val="Arial"/>
        <family val="2"/>
      </rPr>
      <t>" en cada canal de atención https://secretariageneral.gov.co/node/285</t>
    </r>
  </si>
  <si>
    <t>Aplica si el promedio de p5.7 es menor estricto a 3</t>
  </si>
  <si>
    <t>Remítase al Manual de Servicio a la Ciudadanía del Distrito Capítal en el numeral 2 "Aspectos relevantes para la atención ciudadana", sección 2.1.1 "Accesibilidad en espacios físicos" https://secretariageneral.gov.co/node/285 o a la NTC 6047 numeral 4.1.1. "ingreso" y 4.1.2. "vestíbulo" https://colaboracion.dnp.gov.co/CDT/Programa%20Nacional%20del%20Servicio%20al%20Ciudadano/NTC6047.pdf</t>
  </si>
  <si>
    <t>Aplica si el promedio de p5.8 es menor estricto a 3</t>
  </si>
  <si>
    <t>Aplica si el promedio de p5.9 es menor estricto a 3</t>
  </si>
  <si>
    <t>Aplica si el promedio de p5.10 es menor estricto a 3</t>
  </si>
  <si>
    <r>
      <t>Remítase al Manual de Servicio a la Ciudadanía del Distrito Capítal en el numeral 4 "</t>
    </r>
    <r>
      <rPr>
        <i/>
        <sz val="12"/>
        <color rgb="FF000000"/>
        <rFont val="Arial"/>
        <family val="2"/>
      </rPr>
      <t>Protocolos de atención por canal de atención</t>
    </r>
    <r>
      <rPr>
        <sz val="12"/>
        <color rgb="FF000000"/>
        <rFont val="Arial"/>
        <family val="2"/>
      </rPr>
      <t>", sección 4.2 "</t>
    </r>
    <r>
      <rPr>
        <i/>
        <sz val="12"/>
        <color rgb="FF000000"/>
        <rFont val="Arial"/>
        <family val="2"/>
      </rPr>
      <t>Protocolos de atención canal telefónico</t>
    </r>
    <r>
      <rPr>
        <sz val="12"/>
        <color rgb="FF000000"/>
        <rFont val="Arial"/>
        <family val="2"/>
      </rPr>
      <t>" y sección 4.3 "Protocolos de atención canal virtual" https://secretariageneral.gov.co/node/285</t>
    </r>
  </si>
  <si>
    <t>Aplica si el promedio de p5.11 es menor estricto a 3</t>
  </si>
  <si>
    <r>
      <t>Remítase al Manual de Servicio a la Ciudadanía del Distrito Capítal en el numeral 4 "</t>
    </r>
    <r>
      <rPr>
        <i/>
        <sz val="12"/>
        <color rgb="FF000000"/>
        <rFont val="Arial"/>
        <family val="2"/>
      </rPr>
      <t>Protocolos de atención por canal de atención</t>
    </r>
    <r>
      <rPr>
        <sz val="12"/>
        <color rgb="FF000000"/>
        <rFont val="Arial"/>
        <family val="2"/>
      </rPr>
      <t>", sección 4.1 "</t>
    </r>
    <r>
      <rPr>
        <i/>
        <sz val="12"/>
        <color rgb="FF000000"/>
        <rFont val="Arial"/>
        <family val="2"/>
      </rPr>
      <t>Protocolos de atención canal presencial</t>
    </r>
    <r>
      <rPr>
        <sz val="12"/>
        <color rgb="FF000000"/>
        <rFont val="Arial"/>
        <family val="2"/>
      </rPr>
      <t>" y sección 4.2 "Protocolos de atención canal telefónico" https://secretariageneral.gov.co/node/285</t>
    </r>
  </si>
  <si>
    <t>Aplica si el (Total de p8=1/Total de p8) es menor estricto a 0,35</t>
  </si>
  <si>
    <t>Aplica si el (Total de p6=1/Total de p6) es menor estricto a 0,35</t>
  </si>
  <si>
    <t>Aplica si el promedio de p7.1 es menor estricto a 3</t>
  </si>
  <si>
    <t>Remítase a la Guía de lenguaje claro e incluyente del Distrito capital https://secretariageneral.gov.co/sites/default/files/2023-03/guia-de-lenguaje-claro-incluyente-del-distrito-capital.pdf</t>
  </si>
  <si>
    <t>Aplica si el promedio de p7.2 es menor estricto a 3</t>
  </si>
  <si>
    <t>Aplica si el promedio de p7.3 es menor estricto a 3</t>
  </si>
  <si>
    <t>Remítase al Manual de Servicio a la Ciudadanía del Distrito Capítal https://secretariageneral.gov.co/node/285</t>
  </si>
  <si>
    <t>Aplica si el promedio de p7.4 es menor estricto a 3</t>
  </si>
  <si>
    <t>Aplica si el promedio de p7.5 es menor estricto a 3</t>
  </si>
  <si>
    <t>Aplica si el promedio de p7.6 es menor estricto a 3</t>
  </si>
  <si>
    <t>Aplica si el (Total de p9=1/Total de p9) es menor estricto a 0,35</t>
  </si>
  <si>
    <t>IdCriterio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</si>
</sst>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2"/>
      <color theme="1"/>
      <name val="Aptos Narrow"/>
      <family val="2"/>
      <scheme val="minor"/>
    </font>
    <font>
      <sz val="8"/>
      <color theme="1"/>
      <name val="Times New Roman"/>
      <family val="1"/>
    </font>
    <font>
      <sz val="12"/>
      <name val="Arial"/>
      <family val="2"/>
    </font>
    <font>
      <sz val="12"/>
      <name val="Aptos Narrow"/>
      <family val="2"/>
      <scheme val="minor"/>
    </font>
    <font>
      <b/>
      <sz val="16"/>
      <color theme="0"/>
      <name val="Arial"/>
      <family val="2"/>
    </font>
    <font>
      <sz val="12"/>
      <color rgb="FF000000"/>
      <name val="Arial"/>
      <family val="2"/>
    </font>
    <font>
      <i/>
      <sz val="12"/>
      <color rgb="FF000000"/>
      <name val="Arial"/>
      <family val="2"/>
    </font>
    <font>
      <sz val="12"/>
      <color theme="1"/>
      <name val="Arial"/>
      <family val="2"/>
    </font>
    <font>
      <sz val="12"/>
      <color theme="1"/>
      <name val="Aptos Narrow"/>
      <scheme val="minor"/>
    </font>
    <font>
      <sz val="8"/>
      <name val="Aptos Narrow"/>
      <family val="2"/>
      <scheme val="minor"/>
    </font>
    <font>
      <b/>
      <sz val="12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3" fillId="0" borderId="0" xfId="0" applyFont="1" applyAlignment="1">
      <alignment wrapText="1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vertical="center" wrapText="1"/>
    </xf>
    <xf numFmtId="0" fontId="2" fillId="5" borderId="1" xfId="0" applyFont="1" applyFill="1" applyBorder="1" applyAlignment="1">
      <alignment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wrapText="1"/>
    </xf>
    <xf numFmtId="0" fontId="7" fillId="0" borderId="1" xfId="0" applyFont="1" applyBorder="1" applyAlignment="1">
      <alignment wrapText="1"/>
    </xf>
    <xf numFmtId="0" fontId="8" fillId="0" borderId="1" xfId="0" applyFont="1" applyBorder="1" applyAlignment="1">
      <alignment wrapText="1"/>
    </xf>
    <xf numFmtId="0" fontId="0" fillId="0" borderId="1" xfId="0" applyBorder="1" applyAlignment="1">
      <alignment wrapText="1"/>
    </xf>
    <xf numFmtId="0" fontId="10" fillId="0" borderId="1" xfId="0" applyFont="1" applyBorder="1" applyAlignment="1">
      <alignment horizontal="center" vertical="center" wrapText="1"/>
    </xf>
    <xf numFmtId="0" fontId="1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CD2220-3001-ED46-BFC3-6ABC4887A731}">
  <dimension ref="A1:W34"/>
  <sheetViews>
    <sheetView tabSelected="1" topLeftCell="A15" zoomScale="40" zoomScaleNormal="40" workbookViewId="0">
      <selection activeCell="X3" sqref="X3"/>
    </sheetView>
  </sheetViews>
  <sheetFormatPr baseColWidth="10" defaultColWidth="10.796875" defaultRowHeight="15.6" x14ac:dyDescent="0.3"/>
  <cols>
    <col min="1" max="1" width="10.796875" style="1"/>
    <col min="2" max="2" width="17" style="1" customWidth="1"/>
    <col min="3" max="3" width="22.5" style="1" customWidth="1"/>
    <col min="4" max="5" width="23.796875" style="1" customWidth="1"/>
    <col min="6" max="6" width="43.69921875" style="1" customWidth="1"/>
    <col min="7" max="11" width="23.796875" style="1" customWidth="1"/>
    <col min="12" max="12" width="21.5" style="1" customWidth="1"/>
    <col min="13" max="18" width="14.296875" style="1" customWidth="1"/>
    <col min="19" max="20" width="10.796875" style="1"/>
    <col min="21" max="21" width="23.8984375" style="19" customWidth="1"/>
    <col min="22" max="16384" width="10.796875" style="1"/>
  </cols>
  <sheetData>
    <row r="1" spans="1:23" ht="84" x14ac:dyDescent="0.3">
      <c r="A1" s="1" t="s">
        <v>106</v>
      </c>
      <c r="B1" s="9" t="s">
        <v>14</v>
      </c>
      <c r="C1" s="9" t="s">
        <v>1</v>
      </c>
      <c r="D1" s="8" t="s">
        <v>86</v>
      </c>
      <c r="E1" s="8" t="s">
        <v>33</v>
      </c>
      <c r="F1" s="8" t="s">
        <v>0</v>
      </c>
      <c r="G1" s="9" t="s">
        <v>37</v>
      </c>
      <c r="H1" s="9" t="s">
        <v>38</v>
      </c>
      <c r="I1" s="8" t="s">
        <v>34</v>
      </c>
      <c r="J1" s="8" t="s">
        <v>35</v>
      </c>
      <c r="K1" s="9" t="s">
        <v>8</v>
      </c>
      <c r="L1" s="8" t="s">
        <v>65</v>
      </c>
      <c r="M1" s="9" t="s">
        <v>16</v>
      </c>
      <c r="N1" s="9" t="s">
        <v>17</v>
      </c>
      <c r="O1" s="9" t="s">
        <v>2</v>
      </c>
      <c r="P1" s="9" t="s">
        <v>18</v>
      </c>
      <c r="Q1" s="9" t="s">
        <v>19</v>
      </c>
      <c r="R1" s="9" t="s">
        <v>20</v>
      </c>
      <c r="S1" s="13" t="s">
        <v>127</v>
      </c>
      <c r="T1" s="13" t="s">
        <v>128</v>
      </c>
      <c r="U1" s="13" t="s">
        <v>161</v>
      </c>
      <c r="V1" s="13" t="s">
        <v>129</v>
      </c>
      <c r="W1" s="13" t="s">
        <v>130</v>
      </c>
    </row>
    <row r="2" spans="1:23" s="4" customFormat="1" ht="409.6" x14ac:dyDescent="0.3">
      <c r="A2" s="5" t="s">
        <v>107</v>
      </c>
      <c r="B2" s="3" t="s">
        <v>15</v>
      </c>
      <c r="C2" s="10" t="s">
        <v>12</v>
      </c>
      <c r="D2" s="5" t="s">
        <v>9</v>
      </c>
      <c r="E2" s="5" t="s">
        <v>67</v>
      </c>
      <c r="F2" s="5" t="s">
        <v>87</v>
      </c>
      <c r="G2" s="5" t="s">
        <v>40</v>
      </c>
      <c r="H2" s="5" t="s">
        <v>39</v>
      </c>
      <c r="I2" s="5" t="s">
        <v>36</v>
      </c>
      <c r="J2" s="5" t="s">
        <v>7</v>
      </c>
      <c r="K2" s="5" t="s">
        <v>11</v>
      </c>
      <c r="L2" s="5" t="s">
        <v>66</v>
      </c>
      <c r="M2" s="6" t="s">
        <v>5</v>
      </c>
      <c r="N2" s="6"/>
      <c r="O2" s="6"/>
      <c r="P2" s="6"/>
      <c r="Q2" s="6"/>
      <c r="R2" s="6"/>
      <c r="S2" s="6" t="s">
        <v>131</v>
      </c>
      <c r="T2" s="6" t="str">
        <f>C2</f>
        <v>Experiencia en los canales de atención</v>
      </c>
      <c r="U2" s="18" t="str">
        <f>_xlfn.CONCAT(A2,"_cr1")</f>
        <v>c2_p4_d8_01_cr1</v>
      </c>
      <c r="V2" s="6" t="s">
        <v>132</v>
      </c>
      <c r="W2" s="14" t="s">
        <v>133</v>
      </c>
    </row>
    <row r="3" spans="1:23" s="4" customFormat="1" ht="409.6" x14ac:dyDescent="0.3">
      <c r="A3" s="5" t="s">
        <v>108</v>
      </c>
      <c r="B3" s="3" t="s">
        <v>15</v>
      </c>
      <c r="C3" s="10" t="s">
        <v>12</v>
      </c>
      <c r="D3" s="5" t="s">
        <v>21</v>
      </c>
      <c r="E3" s="5" t="s">
        <v>68</v>
      </c>
      <c r="F3" s="5" t="s">
        <v>88</v>
      </c>
      <c r="G3" s="5" t="s">
        <v>41</v>
      </c>
      <c r="H3" s="5" t="s">
        <v>39</v>
      </c>
      <c r="I3" s="5" t="s">
        <v>36</v>
      </c>
      <c r="J3" s="5" t="s">
        <v>7</v>
      </c>
      <c r="K3" s="5" t="s">
        <v>11</v>
      </c>
      <c r="L3" s="5" t="s">
        <v>66</v>
      </c>
      <c r="M3" s="6"/>
      <c r="N3" s="6" t="s">
        <v>5</v>
      </c>
      <c r="O3" s="6" t="s">
        <v>5</v>
      </c>
      <c r="P3" s="6"/>
      <c r="Q3" s="6"/>
      <c r="R3" s="6"/>
      <c r="S3" s="6" t="s">
        <v>131</v>
      </c>
      <c r="T3" s="6" t="str">
        <f t="shared" ref="T3:T21" si="0">C3</f>
        <v>Experiencia en los canales de atención</v>
      </c>
      <c r="U3" s="18" t="str">
        <f t="shared" ref="U3:U21" si="1">_xlfn.CONCAT(A3,"_cr1")</f>
        <v>c2_p4_d8_02_cr1</v>
      </c>
      <c r="V3" s="6" t="s">
        <v>134</v>
      </c>
      <c r="W3" s="14" t="s">
        <v>135</v>
      </c>
    </row>
    <row r="4" spans="1:23" s="4" customFormat="1" ht="409.6" x14ac:dyDescent="0.3">
      <c r="A4" s="5" t="s">
        <v>109</v>
      </c>
      <c r="B4" s="3" t="s">
        <v>15</v>
      </c>
      <c r="C4" s="10" t="s">
        <v>12</v>
      </c>
      <c r="D4" s="5" t="s">
        <v>22</v>
      </c>
      <c r="E4" s="5" t="s">
        <v>69</v>
      </c>
      <c r="F4" s="5" t="s">
        <v>89</v>
      </c>
      <c r="G4" s="5" t="s">
        <v>42</v>
      </c>
      <c r="H4" s="5" t="s">
        <v>39</v>
      </c>
      <c r="I4" s="5" t="s">
        <v>36</v>
      </c>
      <c r="J4" s="5" t="s">
        <v>7</v>
      </c>
      <c r="K4" s="5" t="s">
        <v>11</v>
      </c>
      <c r="L4" s="5" t="s">
        <v>66</v>
      </c>
      <c r="M4" s="6"/>
      <c r="N4" s="6"/>
      <c r="O4" s="6"/>
      <c r="P4" s="6" t="s">
        <v>5</v>
      </c>
      <c r="Q4" s="6" t="s">
        <v>5</v>
      </c>
      <c r="R4" s="6"/>
      <c r="S4" s="6" t="s">
        <v>131</v>
      </c>
      <c r="T4" s="6" t="str">
        <f t="shared" si="0"/>
        <v>Experiencia en los canales de atención</v>
      </c>
      <c r="U4" s="18" t="str">
        <f t="shared" si="1"/>
        <v>c2_p4_d8_03_cr1</v>
      </c>
      <c r="V4" s="6" t="s">
        <v>136</v>
      </c>
      <c r="W4" s="14" t="s">
        <v>135</v>
      </c>
    </row>
    <row r="5" spans="1:23" s="4" customFormat="1" ht="409.6" x14ac:dyDescent="0.3">
      <c r="A5" s="5" t="s">
        <v>110</v>
      </c>
      <c r="B5" s="3" t="s">
        <v>15</v>
      </c>
      <c r="C5" s="10" t="s">
        <v>12</v>
      </c>
      <c r="D5" s="5" t="s">
        <v>23</v>
      </c>
      <c r="E5" s="5" t="s">
        <v>70</v>
      </c>
      <c r="F5" s="5" t="s">
        <v>90</v>
      </c>
      <c r="G5" s="5" t="s">
        <v>43</v>
      </c>
      <c r="H5" s="5" t="s">
        <v>39</v>
      </c>
      <c r="I5" s="5" t="s">
        <v>36</v>
      </c>
      <c r="J5" s="5" t="s">
        <v>7</v>
      </c>
      <c r="K5" s="5" t="s">
        <v>11</v>
      </c>
      <c r="L5" s="5" t="s">
        <v>66</v>
      </c>
      <c r="M5" s="6"/>
      <c r="N5" s="6"/>
      <c r="O5" s="6"/>
      <c r="P5" s="6" t="s">
        <v>5</v>
      </c>
      <c r="Q5" s="6" t="s">
        <v>5</v>
      </c>
      <c r="R5" s="6"/>
      <c r="S5" s="6" t="s">
        <v>131</v>
      </c>
      <c r="T5" s="6" t="str">
        <f t="shared" si="0"/>
        <v>Experiencia en los canales de atención</v>
      </c>
      <c r="U5" s="18" t="str">
        <f t="shared" si="1"/>
        <v>c2_p4_d8_04_cr1</v>
      </c>
      <c r="V5" s="6" t="s">
        <v>137</v>
      </c>
      <c r="W5" s="14" t="s">
        <v>135</v>
      </c>
    </row>
    <row r="6" spans="1:23" s="4" customFormat="1" ht="366" x14ac:dyDescent="0.3">
      <c r="A6" s="5" t="s">
        <v>111</v>
      </c>
      <c r="B6" s="3" t="s">
        <v>15</v>
      </c>
      <c r="C6" s="10" t="s">
        <v>12</v>
      </c>
      <c r="D6" s="5" t="s">
        <v>24</v>
      </c>
      <c r="E6" s="5" t="s">
        <v>71</v>
      </c>
      <c r="F6" s="5" t="s">
        <v>91</v>
      </c>
      <c r="G6" s="5" t="s">
        <v>44</v>
      </c>
      <c r="H6" s="5" t="s">
        <v>39</v>
      </c>
      <c r="I6" s="5" t="s">
        <v>36</v>
      </c>
      <c r="J6" s="5" t="s">
        <v>7</v>
      </c>
      <c r="K6" s="5" t="s">
        <v>11</v>
      </c>
      <c r="L6" s="5" t="s">
        <v>66</v>
      </c>
      <c r="M6" s="6"/>
      <c r="N6" s="6"/>
      <c r="O6" s="6"/>
      <c r="P6" s="6"/>
      <c r="Q6" s="6"/>
      <c r="R6" s="6" t="s">
        <v>5</v>
      </c>
      <c r="S6" s="6" t="s">
        <v>131</v>
      </c>
      <c r="T6" s="6" t="str">
        <f t="shared" si="0"/>
        <v>Experiencia en los canales de atención</v>
      </c>
      <c r="U6" s="18" t="str">
        <f t="shared" si="1"/>
        <v>c2_p4_d8_05_cr1</v>
      </c>
      <c r="V6" s="6" t="s">
        <v>138</v>
      </c>
      <c r="W6" s="14" t="s">
        <v>139</v>
      </c>
    </row>
    <row r="7" spans="1:23" s="4" customFormat="1" ht="241.8" x14ac:dyDescent="0.3">
      <c r="A7" s="5" t="s">
        <v>112</v>
      </c>
      <c r="B7" s="3" t="s">
        <v>15</v>
      </c>
      <c r="C7" s="10" t="s">
        <v>12</v>
      </c>
      <c r="D7" s="5" t="s">
        <v>25</v>
      </c>
      <c r="E7" s="5" t="s">
        <v>72</v>
      </c>
      <c r="F7" s="5" t="s">
        <v>92</v>
      </c>
      <c r="G7" s="5" t="s">
        <v>45</v>
      </c>
      <c r="H7" s="5" t="s">
        <v>39</v>
      </c>
      <c r="I7" s="5" t="s">
        <v>36</v>
      </c>
      <c r="J7" s="5" t="s">
        <v>7</v>
      </c>
      <c r="K7" s="5" t="s">
        <v>11</v>
      </c>
      <c r="L7" s="5" t="s">
        <v>66</v>
      </c>
      <c r="M7" s="6" t="s">
        <v>5</v>
      </c>
      <c r="N7" s="6" t="s">
        <v>5</v>
      </c>
      <c r="O7" s="6" t="s">
        <v>5</v>
      </c>
      <c r="P7" s="6"/>
      <c r="Q7" s="6"/>
      <c r="R7" s="6" t="s">
        <v>5</v>
      </c>
      <c r="S7" s="6" t="s">
        <v>131</v>
      </c>
      <c r="T7" s="6" t="str">
        <f t="shared" si="0"/>
        <v>Experiencia en los canales de atención</v>
      </c>
      <c r="U7" s="18" t="str">
        <f t="shared" si="1"/>
        <v>c2_p4_d8_06_cr1</v>
      </c>
      <c r="V7" s="6" t="s">
        <v>140</v>
      </c>
      <c r="W7" s="14" t="s">
        <v>141</v>
      </c>
    </row>
    <row r="8" spans="1:23" s="4" customFormat="1" ht="409.6" x14ac:dyDescent="0.3">
      <c r="A8" s="5" t="s">
        <v>113</v>
      </c>
      <c r="B8" s="3" t="s">
        <v>15</v>
      </c>
      <c r="C8" s="10" t="s">
        <v>12</v>
      </c>
      <c r="D8" s="5" t="s">
        <v>47</v>
      </c>
      <c r="E8" s="5" t="s">
        <v>73</v>
      </c>
      <c r="F8" s="5" t="s">
        <v>93</v>
      </c>
      <c r="G8" s="5" t="s">
        <v>46</v>
      </c>
      <c r="H8" s="5" t="s">
        <v>39</v>
      </c>
      <c r="I8" s="5" t="s">
        <v>36</v>
      </c>
      <c r="J8" s="5" t="s">
        <v>7</v>
      </c>
      <c r="K8" s="5" t="s">
        <v>11</v>
      </c>
      <c r="L8" s="5" t="s">
        <v>66</v>
      </c>
      <c r="M8" s="6" t="s">
        <v>5</v>
      </c>
      <c r="N8" s="6"/>
      <c r="O8" s="6"/>
      <c r="P8" s="6"/>
      <c r="Q8" s="6"/>
      <c r="R8" s="6"/>
      <c r="S8" s="6" t="s">
        <v>131</v>
      </c>
      <c r="T8" s="6" t="str">
        <f t="shared" si="0"/>
        <v>Experiencia en los canales de atención</v>
      </c>
      <c r="U8" s="18" t="str">
        <f t="shared" si="1"/>
        <v>c2_p4_d8_07_cr1</v>
      </c>
      <c r="V8" s="6" t="s">
        <v>142</v>
      </c>
      <c r="W8" s="15" t="s">
        <v>143</v>
      </c>
    </row>
    <row r="9" spans="1:23" s="4" customFormat="1" ht="93.6" x14ac:dyDescent="0.3">
      <c r="A9" s="5" t="s">
        <v>114</v>
      </c>
      <c r="B9" s="3" t="s">
        <v>15</v>
      </c>
      <c r="C9" s="10" t="s">
        <v>12</v>
      </c>
      <c r="D9" s="5" t="s">
        <v>3</v>
      </c>
      <c r="E9" s="5" t="s">
        <v>74</v>
      </c>
      <c r="F9" s="5" t="s">
        <v>94</v>
      </c>
      <c r="G9" s="5" t="s">
        <v>48</v>
      </c>
      <c r="H9" s="5" t="s">
        <v>39</v>
      </c>
      <c r="I9" s="5" t="s">
        <v>36</v>
      </c>
      <c r="J9" s="5" t="s">
        <v>7</v>
      </c>
      <c r="K9" s="5" t="s">
        <v>11</v>
      </c>
      <c r="L9" s="5" t="s">
        <v>66</v>
      </c>
      <c r="M9" s="6"/>
      <c r="N9" s="6"/>
      <c r="O9" s="6"/>
      <c r="P9" s="6"/>
      <c r="Q9" s="6"/>
      <c r="R9" s="6" t="s">
        <v>5</v>
      </c>
      <c r="S9" s="6" t="s">
        <v>131</v>
      </c>
      <c r="T9" s="6" t="str">
        <f t="shared" si="0"/>
        <v>Experiencia en los canales de atención</v>
      </c>
      <c r="U9" s="18" t="str">
        <f t="shared" si="1"/>
        <v>c2_p4_d8_08_cr1</v>
      </c>
      <c r="V9" s="6" t="s">
        <v>144</v>
      </c>
      <c r="W9" s="16"/>
    </row>
    <row r="10" spans="1:23" s="4" customFormat="1" ht="93.6" x14ac:dyDescent="0.3">
      <c r="A10" s="5" t="s">
        <v>115</v>
      </c>
      <c r="B10" s="3" t="s">
        <v>15</v>
      </c>
      <c r="C10" s="10" t="s">
        <v>12</v>
      </c>
      <c r="D10" s="5" t="s">
        <v>4</v>
      </c>
      <c r="E10" s="5" t="s">
        <v>75</v>
      </c>
      <c r="F10" s="5" t="s">
        <v>95</v>
      </c>
      <c r="G10" s="5" t="s">
        <v>49</v>
      </c>
      <c r="H10" s="5" t="s">
        <v>39</v>
      </c>
      <c r="I10" s="5" t="s">
        <v>36</v>
      </c>
      <c r="J10" s="5" t="s">
        <v>7</v>
      </c>
      <c r="K10" s="5" t="s">
        <v>11</v>
      </c>
      <c r="L10" s="5" t="s">
        <v>66</v>
      </c>
      <c r="M10" s="6"/>
      <c r="N10" s="6" t="s">
        <v>5</v>
      </c>
      <c r="O10" s="6" t="s">
        <v>5</v>
      </c>
      <c r="P10" s="6" t="s">
        <v>5</v>
      </c>
      <c r="Q10" s="6" t="s">
        <v>5</v>
      </c>
      <c r="R10" s="6"/>
      <c r="S10" s="6" t="s">
        <v>131</v>
      </c>
      <c r="T10" s="6" t="str">
        <f t="shared" si="0"/>
        <v>Experiencia en los canales de atención</v>
      </c>
      <c r="U10" s="18" t="str">
        <f t="shared" si="1"/>
        <v>c2_p4_d8_09_cr1</v>
      </c>
      <c r="V10" s="6" t="s">
        <v>145</v>
      </c>
      <c r="W10" s="16"/>
    </row>
    <row r="11" spans="1:23" s="4" customFormat="1" ht="409.6" x14ac:dyDescent="0.3">
      <c r="A11" s="5" t="s">
        <v>116</v>
      </c>
      <c r="B11" s="3" t="s">
        <v>15</v>
      </c>
      <c r="C11" s="10" t="s">
        <v>12</v>
      </c>
      <c r="D11" s="5" t="s">
        <v>26</v>
      </c>
      <c r="E11" s="5" t="s">
        <v>76</v>
      </c>
      <c r="F11" s="5" t="s">
        <v>96</v>
      </c>
      <c r="G11" s="5" t="s">
        <v>50</v>
      </c>
      <c r="H11" s="5" t="s">
        <v>39</v>
      </c>
      <c r="I11" s="5" t="s">
        <v>36</v>
      </c>
      <c r="J11" s="5" t="s">
        <v>7</v>
      </c>
      <c r="K11" s="5" t="s">
        <v>11</v>
      </c>
      <c r="L11" s="5" t="s">
        <v>66</v>
      </c>
      <c r="M11" s="6"/>
      <c r="N11" s="6" t="s">
        <v>5</v>
      </c>
      <c r="O11" s="6" t="s">
        <v>5</v>
      </c>
      <c r="P11" s="6" t="s">
        <v>5</v>
      </c>
      <c r="Q11" s="6" t="s">
        <v>5</v>
      </c>
      <c r="R11" s="6" t="s">
        <v>5</v>
      </c>
      <c r="S11" s="6" t="s">
        <v>131</v>
      </c>
      <c r="T11" s="6" t="str">
        <f t="shared" si="0"/>
        <v>Experiencia en los canales de atención</v>
      </c>
      <c r="U11" s="18" t="str">
        <f t="shared" si="1"/>
        <v>c2_p4_d8_10_cr1</v>
      </c>
      <c r="V11" s="6" t="s">
        <v>146</v>
      </c>
      <c r="W11" s="14" t="s">
        <v>147</v>
      </c>
    </row>
    <row r="12" spans="1:23" ht="409.6" x14ac:dyDescent="0.3">
      <c r="A12" s="5" t="s">
        <v>117</v>
      </c>
      <c r="B12" s="3" t="s">
        <v>15</v>
      </c>
      <c r="C12" s="10" t="s">
        <v>12</v>
      </c>
      <c r="D12" s="5" t="s">
        <v>10</v>
      </c>
      <c r="E12" s="5" t="s">
        <v>77</v>
      </c>
      <c r="F12" s="5" t="s">
        <v>97</v>
      </c>
      <c r="G12" s="5" t="s">
        <v>51</v>
      </c>
      <c r="H12" s="5" t="s">
        <v>39</v>
      </c>
      <c r="I12" s="5" t="s">
        <v>36</v>
      </c>
      <c r="J12" s="5" t="s">
        <v>7</v>
      </c>
      <c r="K12" s="5" t="s">
        <v>11</v>
      </c>
      <c r="L12" s="5" t="s">
        <v>66</v>
      </c>
      <c r="M12" s="6" t="s">
        <v>5</v>
      </c>
      <c r="N12" s="6"/>
      <c r="O12" s="6"/>
      <c r="P12" s="6"/>
      <c r="Q12" s="7"/>
      <c r="R12" s="6" t="s">
        <v>5</v>
      </c>
      <c r="S12" s="6" t="s">
        <v>131</v>
      </c>
      <c r="T12" s="6" t="str">
        <f t="shared" si="0"/>
        <v>Experiencia en los canales de atención</v>
      </c>
      <c r="U12" s="18" t="str">
        <f t="shared" si="1"/>
        <v>c2_p4_d8_11_cr1</v>
      </c>
      <c r="V12" s="6" t="s">
        <v>148</v>
      </c>
      <c r="W12" s="14" t="s">
        <v>149</v>
      </c>
    </row>
    <row r="13" spans="1:23" ht="109.2" x14ac:dyDescent="0.3">
      <c r="A13" s="5" t="s">
        <v>118</v>
      </c>
      <c r="B13" s="3" t="s">
        <v>15</v>
      </c>
      <c r="C13" s="10" t="s">
        <v>12</v>
      </c>
      <c r="D13" s="5" t="s">
        <v>27</v>
      </c>
      <c r="E13" s="5" t="s">
        <v>83</v>
      </c>
      <c r="F13" s="5" t="s">
        <v>53</v>
      </c>
      <c r="G13" s="5" t="s">
        <v>52</v>
      </c>
      <c r="H13" s="5" t="s">
        <v>39</v>
      </c>
      <c r="I13" s="5" t="s">
        <v>36</v>
      </c>
      <c r="J13" s="5" t="s">
        <v>7</v>
      </c>
      <c r="K13" s="5" t="s">
        <v>11</v>
      </c>
      <c r="L13" s="5" t="s">
        <v>66</v>
      </c>
      <c r="M13" s="6" t="s">
        <v>5</v>
      </c>
      <c r="N13" s="6" t="s">
        <v>5</v>
      </c>
      <c r="O13" s="6" t="s">
        <v>5</v>
      </c>
      <c r="P13" s="6" t="s">
        <v>5</v>
      </c>
      <c r="Q13" s="6" t="s">
        <v>5</v>
      </c>
      <c r="R13" s="6" t="s">
        <v>5</v>
      </c>
      <c r="S13" s="6" t="s">
        <v>131</v>
      </c>
      <c r="T13" s="6" t="str">
        <f t="shared" si="0"/>
        <v>Experiencia en los canales de atención</v>
      </c>
      <c r="U13" s="18" t="str">
        <f t="shared" si="1"/>
        <v>c2_p4_d8_12_cr1</v>
      </c>
      <c r="V13" s="6" t="s">
        <v>150</v>
      </c>
      <c r="W13" s="16"/>
    </row>
    <row r="14" spans="1:23" ht="109.2" x14ac:dyDescent="0.3">
      <c r="A14" s="5" t="s">
        <v>119</v>
      </c>
      <c r="B14" s="3" t="s">
        <v>15</v>
      </c>
      <c r="C14" s="11" t="s">
        <v>13</v>
      </c>
      <c r="D14" s="5" t="s">
        <v>28</v>
      </c>
      <c r="E14" s="5" t="s">
        <v>84</v>
      </c>
      <c r="F14" s="5" t="s">
        <v>55</v>
      </c>
      <c r="G14" s="5" t="s">
        <v>54</v>
      </c>
      <c r="H14" s="5" t="s">
        <v>39</v>
      </c>
      <c r="I14" s="5" t="s">
        <v>36</v>
      </c>
      <c r="J14" s="5" t="s">
        <v>7</v>
      </c>
      <c r="K14" s="5" t="s">
        <v>11</v>
      </c>
      <c r="L14" s="5" t="s">
        <v>66</v>
      </c>
      <c r="M14" s="6" t="s">
        <v>5</v>
      </c>
      <c r="N14" s="6" t="s">
        <v>5</v>
      </c>
      <c r="O14" s="6" t="s">
        <v>5</v>
      </c>
      <c r="P14" s="6" t="s">
        <v>5</v>
      </c>
      <c r="Q14" s="7" t="s">
        <v>5</v>
      </c>
      <c r="R14" s="7" t="s">
        <v>5</v>
      </c>
      <c r="S14" s="6" t="s">
        <v>131</v>
      </c>
      <c r="T14" s="6" t="str">
        <f t="shared" si="0"/>
        <v>Satisfacción con el servicio recibido</v>
      </c>
      <c r="U14" s="18" t="str">
        <f t="shared" si="1"/>
        <v>c2_p4_d9_01_cr1</v>
      </c>
      <c r="V14" s="6" t="s">
        <v>151</v>
      </c>
      <c r="W14" s="16"/>
    </row>
    <row r="15" spans="1:23" ht="300.60000000000002" x14ac:dyDescent="0.3">
      <c r="A15" s="5" t="s">
        <v>120</v>
      </c>
      <c r="B15" s="3" t="s">
        <v>15</v>
      </c>
      <c r="C15" s="11" t="s">
        <v>13</v>
      </c>
      <c r="D15" s="5" t="s">
        <v>29</v>
      </c>
      <c r="E15" s="5" t="s">
        <v>78</v>
      </c>
      <c r="F15" s="5" t="s">
        <v>98</v>
      </c>
      <c r="G15" s="5" t="s">
        <v>56</v>
      </c>
      <c r="H15" s="5" t="s">
        <v>39</v>
      </c>
      <c r="I15" s="5" t="s">
        <v>36</v>
      </c>
      <c r="J15" s="5" t="s">
        <v>7</v>
      </c>
      <c r="K15" s="5" t="s">
        <v>11</v>
      </c>
      <c r="L15" s="5" t="s">
        <v>66</v>
      </c>
      <c r="M15" s="6" t="s">
        <v>5</v>
      </c>
      <c r="N15" s="6" t="s">
        <v>5</v>
      </c>
      <c r="O15" s="6" t="s">
        <v>5</v>
      </c>
      <c r="P15" s="6" t="s">
        <v>5</v>
      </c>
      <c r="Q15" s="6"/>
      <c r="R15" s="6"/>
      <c r="S15" s="6" t="s">
        <v>131</v>
      </c>
      <c r="T15" s="6" t="str">
        <f t="shared" si="0"/>
        <v>Satisfacción con el servicio recibido</v>
      </c>
      <c r="U15" s="18" t="str">
        <f t="shared" si="1"/>
        <v>c2_p4_d9_02_cr1</v>
      </c>
      <c r="V15" s="6" t="s">
        <v>152</v>
      </c>
      <c r="W15" s="15" t="s">
        <v>153</v>
      </c>
    </row>
    <row r="16" spans="1:23" ht="93.6" x14ac:dyDescent="0.3">
      <c r="A16" s="5" t="s">
        <v>121</v>
      </c>
      <c r="B16" s="3" t="s">
        <v>15</v>
      </c>
      <c r="C16" s="11" t="s">
        <v>13</v>
      </c>
      <c r="D16" s="5" t="s">
        <v>30</v>
      </c>
      <c r="E16" s="5" t="s">
        <v>79</v>
      </c>
      <c r="F16" s="5" t="s">
        <v>99</v>
      </c>
      <c r="G16" s="5" t="s">
        <v>57</v>
      </c>
      <c r="H16" s="5" t="s">
        <v>39</v>
      </c>
      <c r="I16" s="5" t="s">
        <v>36</v>
      </c>
      <c r="J16" s="5" t="s">
        <v>7</v>
      </c>
      <c r="K16" s="5" t="s">
        <v>11</v>
      </c>
      <c r="L16" s="5" t="s">
        <v>66</v>
      </c>
      <c r="M16" s="6" t="s">
        <v>5</v>
      </c>
      <c r="N16" s="6" t="s">
        <v>5</v>
      </c>
      <c r="O16" s="6" t="s">
        <v>5</v>
      </c>
      <c r="P16" s="6" t="s">
        <v>5</v>
      </c>
      <c r="Q16" s="7"/>
      <c r="R16" s="6"/>
      <c r="S16" s="6" t="s">
        <v>131</v>
      </c>
      <c r="T16" s="6" t="str">
        <f t="shared" si="0"/>
        <v>Satisfacción con el servicio recibido</v>
      </c>
      <c r="U16" s="18" t="str">
        <f t="shared" si="1"/>
        <v>c2_p4_d9_03_cr1</v>
      </c>
      <c r="V16" s="6" t="s">
        <v>154</v>
      </c>
      <c r="W16" s="16"/>
    </row>
    <row r="17" spans="1:23" ht="165.6" x14ac:dyDescent="0.3">
      <c r="A17" s="5" t="s">
        <v>122</v>
      </c>
      <c r="B17" s="3" t="s">
        <v>15</v>
      </c>
      <c r="C17" s="11" t="s">
        <v>13</v>
      </c>
      <c r="D17" s="5" t="s">
        <v>6</v>
      </c>
      <c r="E17" s="5" t="s">
        <v>80</v>
      </c>
      <c r="F17" s="5" t="s">
        <v>100</v>
      </c>
      <c r="G17" s="5" t="s">
        <v>58</v>
      </c>
      <c r="H17" s="5" t="s">
        <v>39</v>
      </c>
      <c r="I17" s="5" t="s">
        <v>36</v>
      </c>
      <c r="J17" s="5" t="s">
        <v>7</v>
      </c>
      <c r="K17" s="5" t="s">
        <v>11</v>
      </c>
      <c r="L17" s="5" t="s">
        <v>66</v>
      </c>
      <c r="M17" s="6" t="s">
        <v>5</v>
      </c>
      <c r="N17" s="6" t="s">
        <v>5</v>
      </c>
      <c r="O17" s="6" t="s">
        <v>5</v>
      </c>
      <c r="P17" s="6" t="s">
        <v>5</v>
      </c>
      <c r="Q17" s="7"/>
      <c r="R17" s="6"/>
      <c r="S17" s="6" t="s">
        <v>131</v>
      </c>
      <c r="T17" s="6" t="str">
        <f t="shared" si="0"/>
        <v>Satisfacción con el servicio recibido</v>
      </c>
      <c r="U17" s="18" t="str">
        <f t="shared" si="1"/>
        <v>c2_p4_d9_04_cr1</v>
      </c>
      <c r="V17" s="6" t="s">
        <v>155</v>
      </c>
      <c r="W17" s="15" t="s">
        <v>156</v>
      </c>
    </row>
    <row r="18" spans="1:23" ht="93.6" x14ac:dyDescent="0.3">
      <c r="A18" s="5" t="s">
        <v>123</v>
      </c>
      <c r="B18" s="3" t="s">
        <v>15</v>
      </c>
      <c r="C18" s="11" t="s">
        <v>13</v>
      </c>
      <c r="D18" s="5" t="s">
        <v>31</v>
      </c>
      <c r="E18" s="5" t="s">
        <v>81</v>
      </c>
      <c r="F18" s="5" t="s">
        <v>101</v>
      </c>
      <c r="G18" s="5" t="s">
        <v>59</v>
      </c>
      <c r="H18" s="5" t="s">
        <v>39</v>
      </c>
      <c r="I18" s="5" t="s">
        <v>36</v>
      </c>
      <c r="J18" s="5" t="s">
        <v>7</v>
      </c>
      <c r="K18" s="5" t="s">
        <v>11</v>
      </c>
      <c r="L18" s="5" t="s">
        <v>66</v>
      </c>
      <c r="M18" s="6" t="s">
        <v>5</v>
      </c>
      <c r="N18" s="6" t="s">
        <v>5</v>
      </c>
      <c r="O18" s="6" t="s">
        <v>5</v>
      </c>
      <c r="P18" s="6" t="s">
        <v>5</v>
      </c>
      <c r="Q18" s="6"/>
      <c r="R18" s="7"/>
      <c r="S18" s="6" t="s">
        <v>131</v>
      </c>
      <c r="T18" s="6" t="str">
        <f t="shared" si="0"/>
        <v>Satisfacción con el servicio recibido</v>
      </c>
      <c r="U18" s="18" t="str">
        <f t="shared" si="1"/>
        <v>c2_p4_d9_05_cr1</v>
      </c>
      <c r="V18" s="6" t="s">
        <v>157</v>
      </c>
      <c r="W18" s="16"/>
    </row>
    <row r="19" spans="1:23" ht="93.6" x14ac:dyDescent="0.3">
      <c r="A19" s="5" t="s">
        <v>124</v>
      </c>
      <c r="B19" s="3" t="s">
        <v>15</v>
      </c>
      <c r="C19" s="11" t="s">
        <v>13</v>
      </c>
      <c r="D19" s="5" t="s">
        <v>62</v>
      </c>
      <c r="E19" s="5" t="s">
        <v>82</v>
      </c>
      <c r="F19" s="5" t="s">
        <v>102</v>
      </c>
      <c r="G19" s="5" t="s">
        <v>60</v>
      </c>
      <c r="H19" s="5" t="s">
        <v>39</v>
      </c>
      <c r="I19" s="5" t="s">
        <v>36</v>
      </c>
      <c r="J19" s="5" t="s">
        <v>7</v>
      </c>
      <c r="K19" s="5" t="s">
        <v>11</v>
      </c>
      <c r="L19" s="5" t="s">
        <v>66</v>
      </c>
      <c r="M19" s="6"/>
      <c r="N19" s="6"/>
      <c r="O19" s="6"/>
      <c r="P19" s="6"/>
      <c r="Q19" s="6" t="s">
        <v>5</v>
      </c>
      <c r="R19" s="7"/>
      <c r="S19" s="6" t="s">
        <v>131</v>
      </c>
      <c r="T19" s="6" t="str">
        <f t="shared" si="0"/>
        <v>Satisfacción con el servicio recibido</v>
      </c>
      <c r="U19" s="18" t="str">
        <f t="shared" si="1"/>
        <v>c2_p4_d9_06_cr1</v>
      </c>
      <c r="V19" s="6" t="s">
        <v>158</v>
      </c>
      <c r="W19" s="16"/>
    </row>
    <row r="20" spans="1:23" ht="93.6" x14ac:dyDescent="0.3">
      <c r="A20" s="5" t="s">
        <v>125</v>
      </c>
      <c r="B20" s="3" t="s">
        <v>15</v>
      </c>
      <c r="C20" s="11" t="s">
        <v>13</v>
      </c>
      <c r="D20" s="12" t="s">
        <v>104</v>
      </c>
      <c r="E20" s="12" t="s">
        <v>105</v>
      </c>
      <c r="F20" s="5" t="s">
        <v>103</v>
      </c>
      <c r="G20" s="5" t="s">
        <v>61</v>
      </c>
      <c r="H20" s="5" t="s">
        <v>39</v>
      </c>
      <c r="I20" s="5" t="s">
        <v>36</v>
      </c>
      <c r="J20" s="5" t="s">
        <v>7</v>
      </c>
      <c r="K20" s="5" t="s">
        <v>11</v>
      </c>
      <c r="L20" s="5" t="s">
        <v>66</v>
      </c>
      <c r="M20" s="6"/>
      <c r="N20" s="6"/>
      <c r="O20" s="6"/>
      <c r="P20" s="6"/>
      <c r="Q20" s="6" t="s">
        <v>5</v>
      </c>
      <c r="R20" s="7"/>
      <c r="S20" s="6" t="s">
        <v>131</v>
      </c>
      <c r="T20" s="6" t="str">
        <f t="shared" si="0"/>
        <v>Satisfacción con el servicio recibido</v>
      </c>
      <c r="U20" s="18" t="str">
        <f t="shared" si="1"/>
        <v>c2_p4_d9_07_cr1</v>
      </c>
      <c r="V20" s="6" t="s">
        <v>159</v>
      </c>
      <c r="W20" s="17"/>
    </row>
    <row r="21" spans="1:23" ht="109.2" x14ac:dyDescent="0.3">
      <c r="A21" s="5" t="s">
        <v>126</v>
      </c>
      <c r="B21" s="3" t="s">
        <v>15</v>
      </c>
      <c r="C21" s="11" t="s">
        <v>13</v>
      </c>
      <c r="D21" s="5" t="s">
        <v>32</v>
      </c>
      <c r="E21" s="5" t="s">
        <v>85</v>
      </c>
      <c r="F21" s="5" t="s">
        <v>64</v>
      </c>
      <c r="G21" s="5" t="s">
        <v>63</v>
      </c>
      <c r="H21" s="5" t="s">
        <v>39</v>
      </c>
      <c r="I21" s="5" t="s">
        <v>36</v>
      </c>
      <c r="J21" s="5" t="s">
        <v>7</v>
      </c>
      <c r="K21" s="5" t="s">
        <v>11</v>
      </c>
      <c r="L21" s="5" t="s">
        <v>66</v>
      </c>
      <c r="M21" s="6" t="s">
        <v>5</v>
      </c>
      <c r="N21" s="6"/>
      <c r="O21" s="6"/>
      <c r="P21" s="6" t="s">
        <v>5</v>
      </c>
      <c r="Q21" s="6"/>
      <c r="R21" s="7"/>
      <c r="S21" s="6" t="s">
        <v>131</v>
      </c>
      <c r="T21" s="6" t="str">
        <f t="shared" si="0"/>
        <v>Satisfacción con el servicio recibido</v>
      </c>
      <c r="U21" s="18" t="str">
        <f t="shared" si="1"/>
        <v>c2_p4_d9_08_cr1</v>
      </c>
      <c r="V21" s="6" t="s">
        <v>160</v>
      </c>
      <c r="W21" s="7"/>
    </row>
    <row r="22" spans="1:23" x14ac:dyDescent="0.3">
      <c r="B22" s="2"/>
    </row>
    <row r="23" spans="1:23" x14ac:dyDescent="0.3">
      <c r="B23" s="2"/>
    </row>
    <row r="24" spans="1:23" x14ac:dyDescent="0.3">
      <c r="B24" s="2"/>
    </row>
    <row r="25" spans="1:23" x14ac:dyDescent="0.3">
      <c r="B25" s="2"/>
    </row>
    <row r="26" spans="1:23" x14ac:dyDescent="0.3">
      <c r="B26" s="2"/>
    </row>
    <row r="27" spans="1:23" x14ac:dyDescent="0.3">
      <c r="B27" s="2"/>
    </row>
    <row r="28" spans="1:23" x14ac:dyDescent="0.3">
      <c r="B28" s="2"/>
    </row>
    <row r="29" spans="1:23" x14ac:dyDescent="0.3">
      <c r="B29" s="2"/>
    </row>
    <row r="30" spans="1:23" x14ac:dyDescent="0.3">
      <c r="B30" s="2"/>
    </row>
    <row r="31" spans="1:23" x14ac:dyDescent="0.3">
      <c r="B31" s="2"/>
    </row>
    <row r="32" spans="1:23" x14ac:dyDescent="0.3">
      <c r="B32" s="2"/>
    </row>
    <row r="33" spans="2:2" x14ac:dyDescent="0.3">
      <c r="B33" s="2"/>
    </row>
    <row r="34" spans="2:2" x14ac:dyDescent="0.3">
      <c r="B34" s="2"/>
    </row>
  </sheetData>
  <phoneticPr fontId="9" type="noConversion"/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Satisfacción y Experiencia</vt:lpstr>
      <vt:lpstr>'Satisfacción y Experiencia'!_ftnref1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Autor</dc:creator>
  <cp:lastModifiedBy>Nicolás Rincón Sánchez</cp:lastModifiedBy>
  <dcterms:created xsi:type="dcterms:W3CDTF">2025-09-16T14:15:28Z</dcterms:created>
  <dcterms:modified xsi:type="dcterms:W3CDTF">2025-12-08T02:24:00Z</dcterms:modified>
</cp:coreProperties>
</file>